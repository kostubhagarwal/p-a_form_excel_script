
<file path=[Content_Types].xml><?xml version="1.0" encoding="utf-8"?>
<Types xmlns="http://schemas.openxmlformats.org/package/2006/content-types">
  <Default Extension="bin" ContentType="application/vnd.openxmlformats-officedocument.spreadsheetml.printerSettings"/>
  <Default Extension="jpeg" ContentType="image/jpe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5225" codeName="{AE6600E7-7A62-396C-DE95-9942FA9DD81E}"/>
  <workbookPr codeName="ThisWorkbook" defaultThemeVersion="166925"/>
  <mc:AlternateContent xmlns:mc="http://schemas.openxmlformats.org/markup-compatibility/2006">
    <mc:Choice Requires="x15">
      <x15ac:absPath xmlns:x15ac="http://schemas.microsoft.com/office/spreadsheetml/2010/11/ac" url="C:\Users\kostu\Desktop\P&amp;A Excel Matrix\"/>
    </mc:Choice>
  </mc:AlternateContent>
  <xr:revisionPtr revIDLastSave="0" documentId="13_ncr:1_{1D803AEE-CAFB-47E7-A2B0-607F726466B5}" xr6:coauthVersionLast="47" xr6:coauthVersionMax="47" xr10:uidLastSave="{00000000-0000-0000-0000-000000000000}"/>
  <bookViews>
    <workbookView xWindow="2263" yWindow="3000" windowWidth="19286" windowHeight="12129" tabRatio="777" activeTab="3" xr2:uid="{F2EAA8B4-7649-4E01-9146-6927D12A2AC5}"/>
  </bookViews>
  <sheets>
    <sheet name="Home" sheetId="1" r:id="rId1"/>
    <sheet name="TechnicalDeliveryPrincipal" sheetId="2" state="veryHidden" r:id="rId2"/>
    <sheet name="BuisnessDevelopmentPrincipal" sheetId="3" state="veryHidden" r:id="rId3"/>
    <sheet name="HybridPrincipal" sheetId="4" r:id="rId4"/>
    <sheet name="TechnicalDeliveryAssociate" sheetId="5" state="veryHidden" r:id="rId5"/>
    <sheet name="BuisnessDevelopmentAssociate" sheetId="6" state="veryHidden" r:id="rId6"/>
    <sheet name="HybridAssociate" sheetId="7" state="veryHidden" r:id="rId7"/>
    <sheet name="Weightings" sheetId="8" state="veryHidden" r:id="rId8"/>
  </sheet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calcFeatures>
    </ext>
  </extLst>
</workbook>
</file>

<file path=xl/calcChain.xml><?xml version="1.0" encoding="utf-8"?>
<calcChain xmlns="http://schemas.openxmlformats.org/spreadsheetml/2006/main">
  <c r="D5" i="2" l="1"/>
  <c r="D30" i="2"/>
  <c r="D30" i="3"/>
  <c r="D30" i="4"/>
  <c r="D31" i="5"/>
  <c r="D31" i="6"/>
  <c r="D40" i="8"/>
  <c r="D5" i="7" l="1"/>
  <c r="D5" i="6"/>
  <c r="D5" i="5"/>
  <c r="D5" i="4"/>
  <c r="D5" i="3"/>
  <c r="D29" i="2"/>
  <c r="D29" i="4"/>
  <c r="D29" i="3"/>
  <c r="D30" i="7"/>
  <c r="D31" i="7" s="1"/>
  <c r="D30" i="5"/>
  <c r="D30" i="6"/>
  <c r="D8" i="8" l="1"/>
  <c r="D24" i="8"/>
</calcChain>
</file>

<file path=xl/sharedStrings.xml><?xml version="1.0" encoding="utf-8"?>
<sst xmlns="http://schemas.openxmlformats.org/spreadsheetml/2006/main" count="584" uniqueCount="123">
  <si>
    <t>PRINCIPAL AND ASSOCIATE MATRIX TYPES</t>
  </si>
  <si>
    <t>The following charts are used for assigning the general matrix weightings to each principal and associate depending on their primary focus in the company.</t>
  </si>
  <si>
    <t>Principal</t>
  </si>
  <si>
    <t>Senior Associate &amp; Associates</t>
  </si>
  <si>
    <t>BD Focus</t>
  </si>
  <si>
    <t>Business Drivers</t>
  </si>
  <si>
    <t>Weighting by Business Driver</t>
  </si>
  <si>
    <t>Weighting by Category</t>
  </si>
  <si>
    <t># of Goals</t>
  </si>
  <si>
    <t>Leadership and Management</t>
  </si>
  <si>
    <t>Leadership and Contribution to Entuitive</t>
  </si>
  <si>
    <t>Getting Work</t>
  </si>
  <si>
    <t>Revenue (weighting must be greater than the profitability weighting)</t>
  </si>
  <si>
    <t>30 to 40%</t>
  </si>
  <si>
    <t>40 to 65%</t>
  </si>
  <si>
    <t>3 to 4</t>
  </si>
  <si>
    <t>20 to 30%</t>
  </si>
  <si>
    <t>30 to 50%</t>
  </si>
  <si>
    <t>Business Development &amp; Client Relations</t>
  </si>
  <si>
    <t>10 to 25%</t>
  </si>
  <si>
    <t>10 to 20%</t>
  </si>
  <si>
    <t>Doing Work</t>
  </si>
  <si>
    <t>Profitability (50% or more of revenue weighting)</t>
  </si>
  <si>
    <t>15 to 20%</t>
  </si>
  <si>
    <t>25 to 35%</t>
  </si>
  <si>
    <t>1 to 2</t>
  </si>
  <si>
    <t>15-20%</t>
  </si>
  <si>
    <t>35 to 45%</t>
  </si>
  <si>
    <t>Technical Delivery</t>
  </si>
  <si>
    <t>0 to 10%</t>
  </si>
  <si>
    <t>5-10%</t>
  </si>
  <si>
    <t>Project Management</t>
  </si>
  <si>
    <t>Project Performance Goals</t>
  </si>
  <si>
    <t>10% (tot)</t>
  </si>
  <si>
    <t>13% (tot)</t>
  </si>
  <si>
    <t>Target Utilization</t>
  </si>
  <si>
    <t>Project Performance</t>
  </si>
  <si>
    <t>Being Entuitive</t>
  </si>
  <si>
    <t>Mentoring, Coaching and Professional Development</t>
  </si>
  <si>
    <t>Being Entuitive - Values, Charter, Core Purpose</t>
  </si>
  <si>
    <t>Total Relative Weighting</t>
  </si>
  <si>
    <t>Technical &amp; Delivery Focus</t>
  </si>
  <si>
    <t>Revenue</t>
  </si>
  <si>
    <t>5 to 25%</t>
  </si>
  <si>
    <t>0 to 5%</t>
  </si>
  <si>
    <t>0 to 15%</t>
  </si>
  <si>
    <t>5 to 15%</t>
  </si>
  <si>
    <t>Profitability</t>
  </si>
  <si>
    <t>20 to 40%</t>
  </si>
  <si>
    <t>55 to 75%</t>
  </si>
  <si>
    <t>65 to 75%</t>
  </si>
  <si>
    <t>15% (tot)</t>
  </si>
  <si>
    <t>20% (tot)</t>
  </si>
  <si>
    <t>Name:</t>
  </si>
  <si>
    <t xml:space="preserve">Date:  </t>
  </si>
  <si>
    <t>Business Objectives and Measures (S.M.A.R.T.)</t>
  </si>
  <si>
    <t>Relative</t>
  </si>
  <si>
    <t>Year End Notes</t>
  </si>
  <si>
    <t>Weight.</t>
  </si>
  <si>
    <t>Ideas in "Business Objectives" Tab</t>
  </si>
  <si>
    <t>Leading and managing strategic initiatives across the organization including:  committee involvement, development of new areas of business, and providing strategic direction at Entuitive.  Responsibilities are related to fulfilling the day-to-day requirements as a Principal/Associate, as well as any management or corporate roles assumed within the firm or office.  For corporate directors this area should be focussed on achievement scorecard objectives as identified.</t>
  </si>
  <si>
    <t>Revenue recognition calculated by formula in white paper.  Average Principal Level Revenue anticipated at $2.25M. Average Associate Level Revenue anticipated at $250-300k.</t>
  </si>
  <si>
    <t>Revenue recognition calculated by formula in white paper.</t>
  </si>
  <si>
    <t xml:space="preserve">Recognition of revenue generated through work won. </t>
  </si>
  <si>
    <t xml:space="preserve"> </t>
  </si>
  <si>
    <t>Business Development and Client Relations</t>
  </si>
  <si>
    <t>Pursuing, establishing and maintaining relationships through project delivery and business development activities in order to expand our client base, build emerging services and promote our brand.  Engages and supports partners across the firm, leveraging the pack approach, to increase successful pursuit of projects in existing and emerging markets.  Sector leaders are accountable for BD efforts of the firm in the sectors which they lead.</t>
  </si>
  <si>
    <t>Profitability recognition calculated by formula in white paper.</t>
  </si>
  <si>
    <t>Achieve profit margins that are in line with our overall growth targets and ensure profitability, productivity and financial targets are met or exceeded.  Entuitive's goal is minimum 20% profitability.</t>
  </si>
  <si>
    <t>Support technical excellence throughout the firm by using and promoting the appropriate tools and resources, to ensure client requirements are exceeded and statutory regulations are adhered to.  Superior quality standards are upheld ensuring to adhere to our commitment of 100% Project Team reviews and supports and/or leads the implementation of other Quality Management initiatives.</t>
  </si>
  <si>
    <t>Instilling and upholding sound project management principles and practices in relation to maintaining schedules, deadlines, budgets and contractual obligations. Ensuring that staff knows what is expected, that workload is managed and that project tasks are completed efficiently and effectively.  Workshare opportunities are proactively sought and leveraged to support connectivity and increase the firms overall delivery capability.</t>
  </si>
  <si>
    <t>In F2022, these are the Accountability Goals that support the effectiveness of the delivery of our projects and effective project management.</t>
  </si>
  <si>
    <t>Project Management Accountability Goals are assessed by Finance and the Project Management Committee.</t>
  </si>
  <si>
    <t>Utilization set in budget process.  Score of 1.0 for hitting budgeted utilization. 0.0 for being more than 5% below target utilization, score of 2.0 for being more than 5% above target utilization.  Sliding scale between.</t>
  </si>
  <si>
    <t>Scored by Operations and Finance</t>
  </si>
  <si>
    <t>Project Performance - refer to page 1 of Project Performance Dashboard for Participation and Performance scoring and scoring quadrants.
Bottom Left Quadrant = 0
Top Left Quadrant = 1.5
Bottom Right Quadrant = 1.0
Top Right Quadrant = 2</t>
  </si>
  <si>
    <t>Demonstrates Entuitive’s vision, mission, and values and fosters the virtues of Advanced, Collaborative, and Creative through our people, while supporting our One Company philosophy.  Activities ensure employees are supported and developed through day-to-day coaching and mentoring and by clearly defining performance expectations and providing opportunities for development through regular and on-going feedback.  Identify professional growth opportunities, establishing a plan, and participate in learning &amp; development activities to foster your development as a leader at Entuitive.</t>
  </si>
  <si>
    <t>Entuitive Charter and Core Purpose</t>
  </si>
  <si>
    <t>Demonstrated, sustained behaviours aligned our Vision, Mission and Values, living our Leadership Charter Alive, supporting our common purpose and our leadership commitment to fostering trust, accountability, communication, embracing conflict to fully reach our potential as a high performing team.</t>
  </si>
  <si>
    <t>Performance Rating Scale (0-2)</t>
  </si>
  <si>
    <t>1.7 -2</t>
  </si>
  <si>
    <t>Exceptional</t>
  </si>
  <si>
    <t>Consistently exceeds expectations for the role and/or meets very ambitious goals set for the role.
Completes major goals and significant additional contributions with exceptional or unique contribution in driving Entuitive.
Exceptional demonstration of leadership 
Seen as a top role model in performance and demonstrator of Entuitive values
Behaviours and actions always reflect the Values and Mindset of Entuitive</t>
  </si>
  <si>
    <t>1.2-1.6</t>
  </si>
  <si>
    <t>Exceeds Expectations</t>
  </si>
  <si>
    <t xml:space="preserve">Often exceeds expectations for the role and/or achieves ambitious goals set for the role.
Value of the goals met was high and other contributions were made
Meaningful impact to the firm through consistently reliable &amp; exceptional work 
Seen as a role model in performance and Entuitive values
Behaviours and actions consistently reflect the Values and Mindset of Entuitive </t>
  </si>
  <si>
    <t>0.9-1.1</t>
  </si>
  <si>
    <t>Meets Expectations</t>
  </si>
  <si>
    <t>Solid, consistent delivery 
Performance regularly meets all expectations of the role
Achieving goals set  
Behaviours and actions consistently reflect our Values and Mindset</t>
  </si>
  <si>
    <t>0.4-0.8</t>
  </si>
  <si>
    <t>Needs Improvement</t>
  </si>
  <si>
    <t>Performance often missed expectations 
Performance failed to meet expectations in one or more essential areas of responsibility 
One or more of critical goals are not met 
Values and actions are mostly – but not consistently – reflective of our Values and Mindset</t>
  </si>
  <si>
    <t>0-0.3</t>
  </si>
  <si>
    <t>Unsatisfactory</t>
  </si>
  <si>
    <t>Performance falls well below expectations  
Not meeting most of the essential responsibilities of the role 
Consistently missing objectives 
Behaviour and actions are not reflective of Entuitive's  Values and Mindset.</t>
  </si>
  <si>
    <t xml:space="preserve">Ratings for Peers to ensure consistency in scoring and evaluation.  Ensure ratings are based on a trend of experience and not a "one-time" interaction.  </t>
  </si>
  <si>
    <t>Project Performance - refer to page 1 of Project Performance Dashboard for Participation and Performance scoring and scoring quadrants.
Top Left Quadrant = 1.5
Bottom Right Quadrant = 1.0
Top Right Quadrant = 2
Bottom Left Quadrant = 0</t>
  </si>
  <si>
    <t>0-30%</t>
  </si>
  <si>
    <t>0-20%</t>
  </si>
  <si>
    <t>15-30%</t>
  </si>
  <si>
    <t>Hybrid</t>
  </si>
  <si>
    <t>5-20%</t>
  </si>
  <si>
    <t>10-20%</t>
  </si>
  <si>
    <t>0-40%</t>
  </si>
  <si>
    <t>10-25%</t>
  </si>
  <si>
    <t>15-40%</t>
  </si>
  <si>
    <t>0-15%</t>
  </si>
  <si>
    <t>0-5%</t>
  </si>
  <si>
    <t>10-15%</t>
  </si>
  <si>
    <t>Valid Range</t>
  </si>
  <si>
    <t>0-10%</t>
  </si>
  <si>
    <t>5-15%</t>
  </si>
  <si>
    <t>20-40%</t>
  </si>
  <si>
    <t>Instructions:</t>
  </si>
  <si>
    <t>30-40%</t>
  </si>
  <si>
    <t>5-25%</t>
  </si>
  <si>
    <t>7-12%</t>
  </si>
  <si>
    <r>
      <t xml:space="preserve">Please fill out the </t>
    </r>
    <r>
      <rPr>
        <b/>
        <u/>
        <sz val="12"/>
        <color rgb="FFFF0000"/>
        <rFont val="Arial"/>
        <family val="2"/>
      </rPr>
      <t>yellow boxes</t>
    </r>
    <r>
      <rPr>
        <b/>
        <sz val="12"/>
        <color rgb="FFFF0000"/>
        <rFont val="Arial"/>
        <family val="2"/>
      </rPr>
      <t xml:space="preserve"> and enter values that are in the assigned range. Ensure the sum of all the 'Relative Weights' is 100%.</t>
    </r>
  </si>
  <si>
    <r>
      <t xml:space="preserve">Please fill out the </t>
    </r>
    <r>
      <rPr>
        <b/>
        <u/>
        <sz val="12"/>
        <color rgb="FFFF0000"/>
        <rFont val="Arial"/>
        <family val="2"/>
      </rPr>
      <t>yellow cells</t>
    </r>
    <r>
      <rPr>
        <b/>
        <sz val="12"/>
        <color rgb="FFFF0000"/>
        <rFont val="Arial"/>
        <family val="2"/>
      </rPr>
      <t xml:space="preserve"> and enter values that are in the assigned range. Ensure the sum of all the 'Relative Weights' is 100%.</t>
    </r>
  </si>
  <si>
    <t>20-30%</t>
  </si>
  <si>
    <t>2-5%</t>
  </si>
  <si>
    <t>10-17%</t>
  </si>
  <si>
    <t>Choose the option that best describes your role: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</si>
</sst>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43" formatCode="_-* #,##0.00_-;\-* #,##0.00_-;_-* &quot;-&quot;??_-;_-@_-"/>
    <numFmt numFmtId="164" formatCode="_-* #,##0_-;\-* #,##0_-;_-* &quot;-&quot;??_-;_-@_-"/>
  </numFmts>
  <fonts count="28" x14ac:knownFonts="1">
    <font>
      <sz val="11"/>
      <color theme="1"/>
      <name val="Calibri"/>
      <family val="2"/>
      <scheme val="minor"/>
    </font>
    <font>
      <sz val="11"/>
      <color theme="1"/>
      <name val="Calibri"/>
      <family val="2"/>
      <scheme val="minor"/>
    </font>
    <font>
      <b/>
      <sz val="11"/>
      <color rgb="FF857874"/>
      <name val="Arial"/>
      <family val="2"/>
    </font>
    <font>
      <sz val="11"/>
      <color theme="1"/>
      <name val="Arial"/>
      <family val="2"/>
    </font>
    <font>
      <sz val="11"/>
      <color rgb="FF857874"/>
      <name val="Arial"/>
      <family val="2"/>
    </font>
    <font>
      <b/>
      <sz val="11"/>
      <color theme="0"/>
      <name val="Arial"/>
      <family val="2"/>
    </font>
    <font>
      <sz val="10"/>
      <color rgb="FF857874"/>
      <name val="Arial"/>
      <family val="2"/>
    </font>
    <font>
      <b/>
      <sz val="14"/>
      <color theme="0"/>
      <name val="Arial"/>
      <family val="2"/>
    </font>
    <font>
      <b/>
      <sz val="10"/>
      <color theme="1"/>
      <name val="Arial"/>
      <family val="2"/>
    </font>
    <font>
      <sz val="11"/>
      <color theme="1" tint="0.34998626667073579"/>
      <name val="Arial"/>
      <family val="2"/>
    </font>
    <font>
      <b/>
      <sz val="10"/>
      <color rgb="FFED8B00"/>
      <name val="Arial"/>
      <family val="2"/>
    </font>
    <font>
      <b/>
      <sz val="10"/>
      <color rgb="FFFFC000"/>
      <name val="Arial"/>
      <family val="2"/>
    </font>
    <font>
      <sz val="11"/>
      <color rgb="FF857874"/>
      <name val="Calibri"/>
      <family val="2"/>
      <scheme val="minor"/>
    </font>
    <font>
      <b/>
      <sz val="14"/>
      <color theme="1" tint="0.34998626667073579"/>
      <name val="Arial"/>
      <family val="2"/>
    </font>
    <font>
      <sz val="10"/>
      <color theme="1" tint="0.34998626667073579"/>
      <name val="Arial"/>
      <family val="2"/>
    </font>
    <font>
      <b/>
      <sz val="11"/>
      <color theme="1" tint="0.34998626667073579"/>
      <name val="Arial"/>
      <family val="2"/>
    </font>
    <font>
      <b/>
      <sz val="12"/>
      <name val="Arial"/>
      <family val="2"/>
    </font>
    <font>
      <b/>
      <sz val="14"/>
      <name val="Arial"/>
      <family val="2"/>
    </font>
    <font>
      <b/>
      <sz val="10"/>
      <color rgb="FF857874"/>
      <name val="Arial"/>
      <family val="2"/>
    </font>
    <font>
      <sz val="10"/>
      <color theme="1" tint="0.499984740745262"/>
      <name val="Arial"/>
      <family val="2"/>
    </font>
    <font>
      <sz val="10"/>
      <color theme="1"/>
      <name val="Arial"/>
      <family val="2"/>
    </font>
    <font>
      <sz val="8"/>
      <color rgb="FF000000"/>
      <name val="Segoe UI"/>
      <family val="2"/>
    </font>
    <font>
      <sz val="11"/>
      <color theme="0"/>
      <name val="Arial"/>
      <family val="2"/>
    </font>
    <font>
      <b/>
      <sz val="12"/>
      <color rgb="FF857874"/>
      <name val="Arial"/>
      <family val="2"/>
    </font>
    <font>
      <b/>
      <sz val="12"/>
      <color rgb="FFFF0000"/>
      <name val="Arial"/>
      <family val="2"/>
    </font>
    <font>
      <b/>
      <u/>
      <sz val="12"/>
      <color rgb="FFFF0000"/>
      <name val="Arial"/>
      <family val="2"/>
    </font>
    <font>
      <sz val="11"/>
      <color theme="0"/>
      <name val="Calibri"/>
      <family val="2"/>
      <scheme val="minor"/>
    </font>
    <font>
      <b/>
      <sz val="11"/>
      <color rgb="FFFF0000"/>
      <name val="Arial"/>
      <family val="2"/>
    </font>
  </fonts>
  <fills count="7">
    <fill>
      <patternFill patternType="none"/>
    </fill>
    <fill>
      <patternFill patternType="gray125"/>
    </fill>
    <fill>
      <patternFill patternType="solid">
        <fgColor theme="0"/>
        <bgColor indexed="64"/>
      </patternFill>
    </fill>
    <fill>
      <patternFill patternType="solid">
        <fgColor rgb="FF857874"/>
        <bgColor indexed="64"/>
      </patternFill>
    </fill>
    <fill>
      <patternFill patternType="solid">
        <fgColor rgb="FFFFBF61"/>
        <bgColor indexed="64"/>
      </patternFill>
    </fill>
    <fill>
      <patternFill patternType="solid">
        <fgColor rgb="FFFFC000"/>
        <bgColor indexed="64"/>
      </patternFill>
    </fill>
    <fill>
      <patternFill patternType="solid">
        <fgColor rgb="FFDDDAD9"/>
        <bgColor indexed="64"/>
      </patternFill>
    </fill>
  </fills>
  <borders count="81">
    <border>
      <left/>
      <right/>
      <top/>
      <bottom/>
      <diagonal/>
    </border>
    <border>
      <left style="thin">
        <color theme="0"/>
      </left>
      <right/>
      <top style="thin">
        <color theme="0"/>
      </top>
      <bottom style="thin">
        <color theme="0"/>
      </bottom>
      <diagonal/>
    </border>
    <border>
      <left/>
      <right/>
      <top style="thin">
        <color theme="0"/>
      </top>
      <bottom style="thin">
        <color theme="0"/>
      </bottom>
      <diagonal/>
    </border>
    <border>
      <left/>
      <right style="thin">
        <color theme="0"/>
      </right>
      <top style="thin">
        <color theme="0"/>
      </top>
      <bottom style="thin">
        <color theme="0"/>
      </bottom>
      <diagonal/>
    </border>
    <border>
      <left style="thin">
        <color theme="0"/>
      </left>
      <right style="thin">
        <color theme="0"/>
      </right>
      <top style="thin">
        <color theme="0"/>
      </top>
      <bottom/>
      <diagonal/>
    </border>
    <border>
      <left style="thin">
        <color theme="0"/>
      </left>
      <right style="thin">
        <color theme="0"/>
      </right>
      <top/>
      <bottom style="thin">
        <color theme="0"/>
      </bottom>
      <diagonal/>
    </border>
    <border>
      <left style="thin">
        <color theme="0"/>
      </left>
      <right style="thin">
        <color theme="0"/>
      </right>
      <top/>
      <bottom/>
      <diagonal/>
    </border>
    <border>
      <left style="thin">
        <color theme="0"/>
      </left>
      <right style="thin">
        <color theme="0"/>
      </right>
      <top/>
      <bottom style="thin">
        <color rgb="FF857874"/>
      </bottom>
      <diagonal/>
    </border>
    <border>
      <left/>
      <right style="thin">
        <color theme="0"/>
      </right>
      <top style="thin">
        <color theme="0"/>
      </top>
      <bottom/>
      <diagonal/>
    </border>
    <border>
      <left style="thin">
        <color rgb="FF857874"/>
      </left>
      <right style="thin">
        <color indexed="64"/>
      </right>
      <top style="thin">
        <color rgb="FF857874"/>
      </top>
      <bottom style="thin">
        <color rgb="FF857874"/>
      </bottom>
      <diagonal/>
    </border>
    <border>
      <left style="thin">
        <color indexed="64"/>
      </left>
      <right style="thin">
        <color indexed="64"/>
      </right>
      <top style="thin">
        <color rgb="FF857874"/>
      </top>
      <bottom style="thin">
        <color rgb="FF857874"/>
      </bottom>
      <diagonal/>
    </border>
    <border>
      <left style="thin">
        <color indexed="64"/>
      </left>
      <right style="thin">
        <color rgb="FF857874"/>
      </right>
      <top style="thin">
        <color rgb="FF857874"/>
      </top>
      <bottom style="thin">
        <color rgb="FF857874"/>
      </bottom>
      <diagonal/>
    </border>
    <border>
      <left/>
      <right style="thin">
        <color rgb="FF857874"/>
      </right>
      <top style="thin">
        <color rgb="FF857874"/>
      </top>
      <bottom style="thin">
        <color rgb="FF857874"/>
      </bottom>
      <diagonal/>
    </border>
    <border>
      <left/>
      <right/>
      <top style="thin">
        <color rgb="FF857874"/>
      </top>
      <bottom/>
      <diagonal/>
    </border>
    <border>
      <left style="thin">
        <color rgb="FF857874"/>
      </left>
      <right style="thin">
        <color rgb="FF857874"/>
      </right>
      <top style="thin">
        <color rgb="FF857874"/>
      </top>
      <bottom style="thin">
        <color rgb="FF857874"/>
      </bottom>
      <diagonal/>
    </border>
    <border>
      <left/>
      <right style="thin">
        <color rgb="FF857874"/>
      </right>
      <top style="thin">
        <color rgb="FF857874"/>
      </top>
      <bottom/>
      <diagonal/>
    </border>
    <border>
      <left/>
      <right style="thin">
        <color theme="0"/>
      </right>
      <top/>
      <bottom style="thin">
        <color theme="0"/>
      </bottom>
      <diagonal/>
    </border>
    <border>
      <left/>
      <right style="thin">
        <color rgb="FF857874"/>
      </right>
      <top/>
      <bottom style="thin">
        <color rgb="FF857874"/>
      </bottom>
      <diagonal/>
    </border>
    <border>
      <left/>
      <right style="thin">
        <color theme="0"/>
      </right>
      <top/>
      <bottom/>
      <diagonal/>
    </border>
    <border>
      <left/>
      <right style="thin">
        <color rgb="FF857874"/>
      </right>
      <top/>
      <bottom/>
      <diagonal/>
    </border>
    <border>
      <left/>
      <right/>
      <top style="thin">
        <color rgb="FF857874"/>
      </top>
      <bottom style="double">
        <color rgb="FF857874"/>
      </bottom>
      <diagonal/>
    </border>
    <border>
      <left style="thin">
        <color rgb="FF857874"/>
      </left>
      <right style="thin">
        <color indexed="64"/>
      </right>
      <top style="thin">
        <color rgb="FF857874"/>
      </top>
      <bottom style="double">
        <color rgb="FF857874"/>
      </bottom>
      <diagonal/>
    </border>
    <border>
      <left style="thin">
        <color indexed="64"/>
      </left>
      <right style="thin">
        <color indexed="64"/>
      </right>
      <top style="thin">
        <color rgb="FF857874"/>
      </top>
      <bottom style="double">
        <color rgb="FF857874"/>
      </bottom>
      <diagonal/>
    </border>
    <border>
      <left style="thin">
        <color indexed="64"/>
      </left>
      <right style="thin">
        <color rgb="FF857874"/>
      </right>
      <top style="thin">
        <color rgb="FF857874"/>
      </top>
      <bottom style="double">
        <color rgb="FF857874"/>
      </bottom>
      <diagonal/>
    </border>
    <border>
      <left style="thin">
        <color rgb="FF857874"/>
      </left>
      <right/>
      <top/>
      <bottom style="thin">
        <color rgb="FF857874"/>
      </bottom>
      <diagonal/>
    </border>
    <border>
      <left style="thin">
        <color rgb="FF857874"/>
      </left>
      <right style="thin">
        <color rgb="FF857874"/>
      </right>
      <top/>
      <bottom style="thin">
        <color rgb="FF857874"/>
      </bottom>
      <diagonal/>
    </border>
    <border>
      <left/>
      <right/>
      <top/>
      <bottom style="thin">
        <color rgb="FF857874"/>
      </bottom>
      <diagonal/>
    </border>
    <border>
      <left style="thin">
        <color theme="0"/>
      </left>
      <right/>
      <top style="thin">
        <color theme="0"/>
      </top>
      <bottom/>
      <diagonal/>
    </border>
    <border>
      <left style="thin">
        <color theme="0"/>
      </left>
      <right style="thin">
        <color theme="0"/>
      </right>
      <top/>
      <bottom style="medium">
        <color indexed="64"/>
      </bottom>
      <diagonal/>
    </border>
    <border>
      <left style="medium">
        <color indexed="64"/>
      </left>
      <right style="medium">
        <color indexed="64"/>
      </right>
      <top style="medium">
        <color indexed="64"/>
      </top>
      <bottom style="medium">
        <color indexed="64"/>
      </bottom>
      <diagonal/>
    </border>
    <border>
      <left/>
      <right/>
      <top style="medium">
        <color indexed="64"/>
      </top>
      <bottom style="medium">
        <color indexed="64"/>
      </bottom>
      <diagonal/>
    </border>
    <border>
      <left style="medium">
        <color indexed="64"/>
      </left>
      <right style="medium">
        <color indexed="64"/>
      </right>
      <top style="medium">
        <color indexed="64"/>
      </top>
      <bottom/>
      <diagonal/>
    </border>
    <border>
      <left style="medium">
        <color indexed="64"/>
      </left>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medium">
        <color indexed="64"/>
      </left>
      <right style="medium">
        <color indexed="64"/>
      </right>
      <top/>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style="thin">
        <color indexed="64"/>
      </right>
      <top style="medium">
        <color indexed="64"/>
      </top>
      <bottom style="medium">
        <color indexed="64"/>
      </bottom>
      <diagonal/>
    </border>
    <border>
      <left style="medium">
        <color indexed="64"/>
      </left>
      <right style="medium">
        <color indexed="64"/>
      </right>
      <top/>
      <bottom style="medium">
        <color indexed="64"/>
      </bottom>
      <diagonal/>
    </border>
    <border>
      <left style="medium">
        <color indexed="64"/>
      </left>
      <right style="medium">
        <color indexed="64"/>
      </right>
      <top/>
      <bottom style="thin">
        <color indexed="64"/>
      </bottom>
      <diagonal/>
    </border>
    <border>
      <left style="medium">
        <color indexed="64"/>
      </left>
      <right style="medium">
        <color indexed="64"/>
      </right>
      <top style="thin">
        <color indexed="64"/>
      </top>
      <bottom/>
      <diagonal/>
    </border>
    <border>
      <left style="medium">
        <color indexed="64"/>
      </left>
      <right style="thin">
        <color indexed="64"/>
      </right>
      <top style="thin">
        <color indexed="64"/>
      </top>
      <bottom/>
      <diagonal/>
    </border>
    <border>
      <left/>
      <right/>
      <top style="thin">
        <color indexed="64"/>
      </top>
      <bottom/>
      <diagonal/>
    </border>
    <border>
      <left style="thin">
        <color indexed="64"/>
      </left>
      <right style="medium">
        <color indexed="64"/>
      </right>
      <top style="thin">
        <color indexed="64"/>
      </top>
      <bottom/>
      <diagonal/>
    </border>
    <border>
      <left style="medium">
        <color indexed="64"/>
      </left>
      <right/>
      <top/>
      <bottom/>
      <diagonal/>
    </border>
    <border>
      <left/>
      <right style="medium">
        <color indexed="64"/>
      </right>
      <top/>
      <bottom/>
      <diagonal/>
    </border>
    <border>
      <left/>
      <right style="medium">
        <color indexed="64"/>
      </right>
      <top style="thin">
        <color indexed="64"/>
      </top>
      <bottom style="thin">
        <color indexed="64"/>
      </bottom>
      <diagonal/>
    </border>
    <border>
      <left style="medium">
        <color indexed="64"/>
      </left>
      <right style="thin">
        <color indexed="64"/>
      </right>
      <top style="thin">
        <color indexed="64"/>
      </top>
      <bottom style="thin">
        <color indexed="64"/>
      </bottom>
      <diagonal/>
    </border>
    <border>
      <left/>
      <right style="thin">
        <color indexed="64"/>
      </right>
      <top style="medium">
        <color indexed="64"/>
      </top>
      <bottom style="medium">
        <color indexed="64"/>
      </bottom>
      <diagonal/>
    </border>
    <border>
      <left/>
      <right/>
      <top/>
      <bottom style="medium">
        <color indexed="64"/>
      </bottom>
      <diagonal/>
    </border>
    <border>
      <left style="medium">
        <color indexed="64"/>
      </left>
      <right/>
      <top/>
      <bottom style="medium">
        <color indexed="64"/>
      </bottom>
      <diagonal/>
    </border>
    <border>
      <left/>
      <right style="medium">
        <color indexed="64"/>
      </right>
      <top/>
      <bottom style="medium">
        <color indexed="64"/>
      </bottom>
      <diagonal/>
    </border>
    <border>
      <left/>
      <right style="medium">
        <color indexed="64"/>
      </right>
      <top style="medium">
        <color indexed="64"/>
      </top>
      <bottom style="medium">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style="thin">
        <color theme="0"/>
      </left>
      <right style="thin">
        <color theme="0"/>
      </right>
      <top style="thin">
        <color theme="0"/>
      </top>
      <bottom style="thin">
        <color theme="0"/>
      </bottom>
      <diagonal/>
    </border>
    <border>
      <left style="thin">
        <color indexed="64"/>
      </left>
      <right/>
      <top style="medium">
        <color indexed="64"/>
      </top>
      <bottom/>
      <diagonal/>
    </border>
    <border>
      <left style="thin">
        <color indexed="64"/>
      </left>
      <right style="medium">
        <color indexed="64"/>
      </right>
      <top style="medium">
        <color indexed="64"/>
      </top>
      <bottom/>
      <diagonal/>
    </border>
    <border>
      <left style="medium">
        <color indexed="64"/>
      </left>
      <right style="medium">
        <color indexed="64"/>
      </right>
      <top style="thin">
        <color theme="0"/>
      </top>
      <bottom/>
      <diagonal/>
    </border>
    <border>
      <left/>
      <right style="medium">
        <color indexed="64"/>
      </right>
      <top style="medium">
        <color indexed="64"/>
      </top>
      <bottom style="thin">
        <color indexed="64"/>
      </bottom>
      <diagonal/>
    </border>
    <border>
      <left/>
      <right style="thin">
        <color indexed="64"/>
      </right>
      <top/>
      <bottom style="thin">
        <color theme="0"/>
      </bottom>
      <diagonal/>
    </border>
    <border>
      <left/>
      <right/>
      <top/>
      <bottom style="thin">
        <color indexed="64"/>
      </bottom>
      <diagonal/>
    </border>
    <border>
      <left/>
      <right/>
      <top style="medium">
        <color indexed="64"/>
      </top>
      <bottom style="thin">
        <color indexed="64"/>
      </bottom>
      <diagonal/>
    </border>
    <border>
      <left style="medium">
        <color indexed="64"/>
      </left>
      <right/>
      <top/>
      <bottom style="thin">
        <color indexed="64"/>
      </bottom>
      <diagonal/>
    </border>
    <border>
      <left style="medium">
        <color indexed="64"/>
      </left>
      <right/>
      <top style="medium">
        <color indexed="64"/>
      </top>
      <bottom style="thin">
        <color indexed="64"/>
      </bottom>
      <diagonal/>
    </border>
    <border>
      <left/>
      <right style="medium">
        <color indexed="64"/>
      </right>
      <top style="thin">
        <color theme="0"/>
      </top>
      <bottom/>
      <diagonal/>
    </border>
    <border>
      <left style="thin">
        <color indexed="64"/>
      </left>
      <right/>
      <top/>
      <bottom/>
      <diagonal/>
    </border>
    <border>
      <left/>
      <right style="thin">
        <color indexed="64"/>
      </right>
      <top/>
      <bottom/>
      <diagonal/>
    </border>
    <border>
      <left style="thin">
        <color indexed="64"/>
      </left>
      <right style="thin">
        <color indexed="64"/>
      </right>
      <top style="thin">
        <color indexed="64"/>
      </top>
      <bottom/>
      <diagonal/>
    </border>
    <border>
      <left style="medium">
        <color indexed="64"/>
      </left>
      <right style="thin">
        <color indexed="64"/>
      </right>
      <top/>
      <bottom style="thin">
        <color indexed="64"/>
      </bottom>
      <diagonal/>
    </border>
    <border>
      <left style="medium">
        <color indexed="64"/>
      </left>
      <right style="thin">
        <color indexed="64"/>
      </right>
      <top style="thin">
        <color indexed="64"/>
      </top>
      <bottom style="medium">
        <color indexed="64"/>
      </bottom>
      <diagonal/>
    </border>
    <border>
      <left/>
      <right style="thin">
        <color indexed="64"/>
      </right>
      <top style="thin">
        <color indexed="64"/>
      </top>
      <bottom/>
      <diagonal/>
    </border>
    <border>
      <left style="thin">
        <color theme="0"/>
      </left>
      <right style="thin">
        <color theme="0"/>
      </right>
      <top/>
      <bottom style="thin">
        <color indexed="64"/>
      </bottom>
      <diagonal/>
    </border>
    <border>
      <left/>
      <right style="medium">
        <color indexed="64"/>
      </right>
      <top/>
      <bottom style="thin">
        <color indexed="64"/>
      </bottom>
      <diagonal/>
    </border>
    <border>
      <left style="thin">
        <color indexed="64"/>
      </left>
      <right style="medium">
        <color indexed="64"/>
      </right>
      <top/>
      <bottom style="medium">
        <color indexed="64"/>
      </bottom>
      <diagonal/>
    </border>
    <border>
      <left style="thin">
        <color theme="0"/>
      </left>
      <right/>
      <top/>
      <bottom/>
      <diagonal/>
    </border>
    <border>
      <left style="thin">
        <color indexed="64"/>
      </left>
      <right style="medium">
        <color indexed="64"/>
      </right>
      <top/>
      <bottom/>
      <diagonal/>
    </border>
    <border>
      <left style="medium">
        <color indexed="64"/>
      </left>
      <right style="thin">
        <color indexed="64"/>
      </right>
      <top/>
      <bottom style="medium">
        <color indexed="64"/>
      </bottom>
      <diagonal/>
    </border>
  </borders>
  <cellStyleXfs count="3">
    <xf numFmtId="0" fontId="0" fillId="0" borderId="0"/>
    <xf numFmtId="43" fontId="1" fillId="0" borderId="0" applyFont="0" applyFill="0" applyBorder="0" applyAlignment="0" applyProtection="0"/>
    <xf numFmtId="9" fontId="1" fillId="0" borderId="0" applyFont="0" applyFill="0" applyBorder="0" applyAlignment="0" applyProtection="0"/>
  </cellStyleXfs>
  <cellXfs count="258">
    <xf numFmtId="0" fontId="0" fillId="0" borderId="0" xfId="0"/>
    <xf numFmtId="0" fontId="2" fillId="0" borderId="0" xfId="0" applyFont="1" applyAlignment="1">
      <alignment horizontal="center" vertical="top"/>
    </xf>
    <xf numFmtId="0" fontId="3" fillId="0" borderId="0" xfId="0" applyFont="1"/>
    <xf numFmtId="0" fontId="2" fillId="0" borderId="0" xfId="0" applyFont="1" applyAlignment="1">
      <alignment horizontal="left" vertical="top"/>
    </xf>
    <xf numFmtId="0" fontId="3" fillId="2" borderId="0" xfId="0" applyFont="1" applyFill="1"/>
    <xf numFmtId="0" fontId="4" fillId="0" borderId="0" xfId="0" applyFont="1" applyAlignment="1">
      <alignment horizontal="left" vertical="top" wrapText="1"/>
    </xf>
    <xf numFmtId="0" fontId="4" fillId="0" borderId="0" xfId="0" applyFont="1" applyAlignment="1">
      <alignment horizontal="left" vertical="top"/>
    </xf>
    <xf numFmtId="0" fontId="5" fillId="0" borderId="2" xfId="0" applyFont="1" applyBorder="1" applyAlignment="1">
      <alignment horizontal="center" vertical="top"/>
    </xf>
    <xf numFmtId="0" fontId="5" fillId="0" borderId="4" xfId="0" applyFont="1" applyBorder="1" applyAlignment="1">
      <alignment horizontal="center" vertical="top" wrapText="1"/>
    </xf>
    <xf numFmtId="0" fontId="5" fillId="0" borderId="7" xfId="0" applyFont="1" applyBorder="1" applyAlignment="1">
      <alignment horizontal="center" vertical="top" wrapText="1"/>
    </xf>
    <xf numFmtId="0" fontId="5" fillId="4" borderId="8" xfId="0" applyFont="1" applyFill="1" applyBorder="1" applyAlignment="1">
      <alignment horizontal="center" vertical="center"/>
    </xf>
    <xf numFmtId="0" fontId="2" fillId="0" borderId="0" xfId="0" applyFont="1" applyAlignment="1">
      <alignment horizontal="left" vertical="top" wrapText="1"/>
    </xf>
    <xf numFmtId="9" fontId="2" fillId="0" borderId="9" xfId="2" applyFont="1" applyFill="1" applyBorder="1" applyAlignment="1">
      <alignment horizontal="center" vertical="top"/>
    </xf>
    <xf numFmtId="9" fontId="2" fillId="0" borderId="10" xfId="2" applyFont="1" applyFill="1" applyBorder="1" applyAlignment="1">
      <alignment horizontal="center" vertical="top"/>
    </xf>
    <xf numFmtId="0" fontId="2" fillId="0" borderId="11" xfId="0" applyFont="1" applyBorder="1" applyAlignment="1">
      <alignment horizontal="center" vertical="top" wrapText="1"/>
    </xf>
    <xf numFmtId="9" fontId="2" fillId="0" borderId="12" xfId="2" applyFont="1" applyFill="1" applyBorder="1" applyAlignment="1">
      <alignment horizontal="center" vertical="top"/>
    </xf>
    <xf numFmtId="0" fontId="2" fillId="0" borderId="13" xfId="0" applyFont="1" applyBorder="1" applyAlignment="1">
      <alignment horizontal="left" vertical="top" wrapText="1"/>
    </xf>
    <xf numFmtId="9" fontId="2" fillId="5" borderId="14" xfId="2" applyFont="1" applyFill="1" applyBorder="1" applyAlignment="1">
      <alignment horizontal="center" vertical="top"/>
    </xf>
    <xf numFmtId="9" fontId="2" fillId="0" borderId="15" xfId="2" applyFont="1" applyFill="1" applyBorder="1" applyAlignment="1">
      <alignment horizontal="center" vertical="center"/>
    </xf>
    <xf numFmtId="0" fontId="2" fillId="0" borderId="13" xfId="0" applyFont="1" applyBorder="1" applyAlignment="1">
      <alignment horizontal="left" vertical="top"/>
    </xf>
    <xf numFmtId="9" fontId="2" fillId="0" borderId="17" xfId="2" applyFont="1" applyFill="1" applyBorder="1" applyAlignment="1">
      <alignment horizontal="center" vertical="center"/>
    </xf>
    <xf numFmtId="9" fontId="2" fillId="0" borderId="19" xfId="2" applyFont="1" applyFill="1" applyBorder="1" applyAlignment="1">
      <alignment horizontal="center" vertical="center"/>
    </xf>
    <xf numFmtId="9" fontId="2" fillId="0" borderId="14" xfId="2" applyFont="1" applyFill="1" applyBorder="1" applyAlignment="1">
      <alignment horizontal="center" vertical="top"/>
    </xf>
    <xf numFmtId="0" fontId="4" fillId="0" borderId="13" xfId="0" applyFont="1" applyBorder="1" applyAlignment="1">
      <alignment horizontal="left" vertical="top" wrapText="1" indent="2"/>
    </xf>
    <xf numFmtId="0" fontId="2" fillId="0" borderId="20" xfId="0" applyFont="1" applyBorder="1" applyAlignment="1">
      <alignment horizontal="left" vertical="top" wrapText="1"/>
    </xf>
    <xf numFmtId="9" fontId="2" fillId="0" borderId="21" xfId="2" applyFont="1" applyFill="1" applyBorder="1" applyAlignment="1">
      <alignment horizontal="center" vertical="top"/>
    </xf>
    <xf numFmtId="0" fontId="6" fillId="0" borderId="0" xfId="0" applyFont="1"/>
    <xf numFmtId="0" fontId="2" fillId="0" borderId="24" xfId="0" applyFont="1" applyBorder="1" applyAlignment="1">
      <alignment horizontal="left" vertical="top"/>
    </xf>
    <xf numFmtId="9" fontId="2" fillId="0" borderId="25" xfId="2" applyFont="1" applyFill="1" applyBorder="1" applyAlignment="1">
      <alignment horizontal="center" vertical="top"/>
    </xf>
    <xf numFmtId="2" fontId="2" fillId="0" borderId="0" xfId="0" applyNumberFormat="1" applyFont="1" applyAlignment="1">
      <alignment horizontal="center" vertical="top"/>
    </xf>
    <xf numFmtId="9" fontId="2" fillId="0" borderId="17" xfId="2" applyFont="1" applyFill="1" applyBorder="1" applyAlignment="1">
      <alignment horizontal="center" vertical="top"/>
    </xf>
    <xf numFmtId="9" fontId="2" fillId="0" borderId="13" xfId="2" applyFont="1" applyFill="1" applyBorder="1" applyAlignment="1">
      <alignment horizontal="center" vertical="center"/>
    </xf>
    <xf numFmtId="9" fontId="2" fillId="0" borderId="26" xfId="2" applyFont="1" applyFill="1" applyBorder="1" applyAlignment="1">
      <alignment horizontal="center" vertical="center"/>
    </xf>
    <xf numFmtId="9" fontId="2" fillId="0" borderId="0" xfId="0" applyNumberFormat="1" applyFont="1" applyAlignment="1">
      <alignment horizontal="center"/>
    </xf>
    <xf numFmtId="9" fontId="4" fillId="0" borderId="0" xfId="2" applyFont="1" applyBorder="1" applyAlignment="1">
      <alignment horizontal="center"/>
    </xf>
    <xf numFmtId="0" fontId="2" fillId="0" borderId="0" xfId="0" applyFont="1" applyAlignment="1">
      <alignment horizontal="center"/>
    </xf>
    <xf numFmtId="0" fontId="4" fillId="0" borderId="0" xfId="0" applyFont="1" applyAlignment="1" applyProtection="1">
      <alignment horizontal="left" vertical="top"/>
      <protection locked="0"/>
    </xf>
    <xf numFmtId="9" fontId="4" fillId="0" borderId="0" xfId="0" applyNumberFormat="1" applyFont="1" applyAlignment="1">
      <alignment horizontal="center"/>
    </xf>
    <xf numFmtId="9" fontId="4" fillId="0" borderId="0" xfId="2" applyFont="1" applyFill="1" applyBorder="1" applyAlignment="1">
      <alignment horizontal="left" vertical="top"/>
    </xf>
    <xf numFmtId="0" fontId="4" fillId="0" borderId="0" xfId="0" applyFont="1"/>
    <xf numFmtId="0" fontId="5" fillId="3" borderId="27" xfId="0" applyFont="1" applyFill="1" applyBorder="1" applyAlignment="1">
      <alignment horizontal="left" vertical="top" wrapText="1"/>
    </xf>
    <xf numFmtId="9" fontId="5" fillId="3" borderId="4" xfId="0" applyNumberFormat="1" applyFont="1" applyFill="1" applyBorder="1" applyAlignment="1">
      <alignment horizontal="center" vertical="top"/>
    </xf>
    <xf numFmtId="9" fontId="5" fillId="3" borderId="6" xfId="2" applyFont="1" applyFill="1" applyBorder="1" applyAlignment="1">
      <alignment horizontal="center" vertical="top"/>
    </xf>
    <xf numFmtId="0" fontId="5" fillId="3" borderId="4" xfId="0" applyFont="1" applyFill="1" applyBorder="1" applyAlignment="1">
      <alignment horizontal="left" vertical="top"/>
    </xf>
    <xf numFmtId="0" fontId="5" fillId="3" borderId="0" xfId="0" applyFont="1" applyFill="1" applyAlignment="1">
      <alignment horizontal="left" vertical="top"/>
    </xf>
    <xf numFmtId="9" fontId="5" fillId="3" borderId="6" xfId="0" applyNumberFormat="1" applyFont="1" applyFill="1" applyBorder="1" applyAlignment="1">
      <alignment horizontal="center" vertical="top"/>
    </xf>
    <xf numFmtId="0" fontId="8" fillId="0" borderId="30" xfId="0" applyFont="1" applyBorder="1" applyAlignment="1">
      <alignment horizontal="center"/>
    </xf>
    <xf numFmtId="9" fontId="2" fillId="0" borderId="32" xfId="0" applyNumberFormat="1" applyFont="1" applyBorder="1" applyAlignment="1">
      <alignment horizontal="center" vertical="top"/>
    </xf>
    <xf numFmtId="9" fontId="4" fillId="0" borderId="34" xfId="2" applyFont="1" applyFill="1" applyBorder="1" applyAlignment="1" applyProtection="1">
      <alignment horizontal="center" vertical="top"/>
      <protection locked="0"/>
    </xf>
    <xf numFmtId="0" fontId="4" fillId="0" borderId="0" xfId="0" applyFont="1" applyAlignment="1">
      <alignment vertical="top" wrapText="1"/>
    </xf>
    <xf numFmtId="9" fontId="2" fillId="5" borderId="39" xfId="0" applyNumberFormat="1" applyFont="1" applyFill="1" applyBorder="1" applyAlignment="1" applyProtection="1">
      <alignment horizontal="center" vertical="top"/>
      <protection locked="0"/>
    </xf>
    <xf numFmtId="9" fontId="2" fillId="5" borderId="30" xfId="0" applyNumberFormat="1" applyFont="1" applyFill="1" applyBorder="1" applyAlignment="1" applyProtection="1">
      <alignment horizontal="center" vertical="top"/>
      <protection locked="0"/>
    </xf>
    <xf numFmtId="9" fontId="2" fillId="0" borderId="34" xfId="2" applyFont="1" applyFill="1" applyBorder="1" applyAlignment="1" applyProtection="1">
      <alignment horizontal="center" vertical="top"/>
      <protection locked="0"/>
    </xf>
    <xf numFmtId="0" fontId="11" fillId="0" borderId="42" xfId="0" applyFont="1" applyBorder="1" applyAlignment="1">
      <alignment wrapText="1"/>
    </xf>
    <xf numFmtId="9" fontId="4" fillId="0" borderId="43" xfId="0" applyNumberFormat="1" applyFont="1" applyBorder="1" applyAlignment="1">
      <alignment horizontal="center" vertical="top"/>
    </xf>
    <xf numFmtId="9" fontId="4" fillId="0" borderId="44" xfId="0" applyNumberFormat="1" applyFont="1" applyBorder="1" applyAlignment="1">
      <alignment horizontal="center" vertical="top"/>
    </xf>
    <xf numFmtId="9" fontId="4" fillId="0" borderId="45" xfId="2" applyFont="1" applyFill="1" applyBorder="1" applyAlignment="1">
      <alignment horizontal="center" vertical="top"/>
    </xf>
    <xf numFmtId="0" fontId="4" fillId="0" borderId="42" xfId="0" applyFont="1" applyBorder="1" applyAlignment="1" applyProtection="1">
      <alignment horizontal="left" vertical="top" wrapText="1"/>
      <protection locked="0"/>
    </xf>
    <xf numFmtId="9" fontId="2" fillId="0" borderId="39" xfId="0" applyNumberFormat="1" applyFont="1" applyBorder="1" applyAlignment="1">
      <alignment horizontal="center" vertical="top"/>
    </xf>
    <xf numFmtId="0" fontId="4" fillId="0" borderId="37" xfId="0" applyFont="1" applyBorder="1" applyAlignment="1">
      <alignment vertical="top" wrapText="1"/>
    </xf>
    <xf numFmtId="0" fontId="8" fillId="0" borderId="38" xfId="0" applyFont="1" applyBorder="1" applyAlignment="1">
      <alignment horizontal="center"/>
    </xf>
    <xf numFmtId="0" fontId="11" fillId="0" borderId="0" xfId="0" applyFont="1" applyAlignment="1">
      <alignment horizontal="left" vertical="center" wrapText="1"/>
    </xf>
    <xf numFmtId="0" fontId="4" fillId="0" borderId="35" xfId="0" applyFont="1" applyBorder="1" applyAlignment="1" applyProtection="1">
      <alignment horizontal="center" vertical="top" wrapText="1"/>
      <protection locked="0"/>
    </xf>
    <xf numFmtId="0" fontId="4" fillId="0" borderId="46" xfId="0" applyFont="1" applyBorder="1" applyAlignment="1">
      <alignment horizontal="center" vertical="top" wrapText="1"/>
    </xf>
    <xf numFmtId="0" fontId="10" fillId="0" borderId="35" xfId="0" applyFont="1" applyBorder="1" applyAlignment="1">
      <alignment horizontal="left" vertical="top" wrapText="1"/>
    </xf>
    <xf numFmtId="0" fontId="4" fillId="0" borderId="48" xfId="0" applyFont="1" applyBorder="1" applyAlignment="1">
      <alignment horizontal="left" vertical="top" wrapText="1" indent="3"/>
    </xf>
    <xf numFmtId="0" fontId="10" fillId="0" borderId="29" xfId="0" applyFont="1" applyBorder="1" applyAlignment="1">
      <alignment horizontal="left" vertical="center" wrapText="1"/>
    </xf>
    <xf numFmtId="9" fontId="2" fillId="0" borderId="49" xfId="0" applyNumberFormat="1" applyFont="1" applyBorder="1" applyAlignment="1">
      <alignment horizontal="center" vertical="top"/>
    </xf>
    <xf numFmtId="0" fontId="10" fillId="0" borderId="29" xfId="0" applyFont="1" applyBorder="1" applyAlignment="1">
      <alignment horizontal="center" vertical="center" wrapText="1"/>
    </xf>
    <xf numFmtId="0" fontId="10" fillId="0" borderId="41" xfId="0" applyFont="1" applyBorder="1" applyAlignment="1">
      <alignment horizontal="left" vertical="center" wrapText="1"/>
    </xf>
    <xf numFmtId="9" fontId="2" fillId="0" borderId="50" xfId="0" applyNumberFormat="1" applyFont="1" applyBorder="1" applyAlignment="1">
      <alignment horizontal="center" vertical="top"/>
    </xf>
    <xf numFmtId="0" fontId="7" fillId="0" borderId="0" xfId="0" applyFont="1" applyAlignment="1">
      <alignment vertical="center" textRotation="90" wrapText="1"/>
    </xf>
    <xf numFmtId="0" fontId="4" fillId="0" borderId="0" xfId="0" applyFont="1" applyAlignment="1" applyProtection="1">
      <alignment vertical="top" wrapText="1"/>
      <protection locked="0"/>
    </xf>
    <xf numFmtId="9" fontId="2" fillId="6" borderId="33" xfId="0" applyNumberFormat="1" applyFont="1" applyFill="1" applyBorder="1" applyAlignment="1">
      <alignment horizontal="center" vertical="top"/>
    </xf>
    <xf numFmtId="0" fontId="4" fillId="0" borderId="19" xfId="0" applyFont="1" applyBorder="1" applyAlignment="1">
      <alignment vertical="top"/>
    </xf>
    <xf numFmtId="0" fontId="13" fillId="0" borderId="0" xfId="0" applyFont="1" applyAlignment="1">
      <alignment horizontal="center" vertical="center" textRotation="90" wrapText="1"/>
    </xf>
    <xf numFmtId="0" fontId="14" fillId="0" borderId="0" xfId="0" applyFont="1"/>
    <xf numFmtId="0" fontId="15" fillId="0" borderId="0" xfId="0" applyFont="1" applyAlignment="1">
      <alignment horizontal="left" vertical="top"/>
    </xf>
    <xf numFmtId="9" fontId="15" fillId="0" borderId="0" xfId="2" applyFont="1" applyFill="1" applyBorder="1" applyAlignment="1">
      <alignment horizontal="center" vertical="top"/>
    </xf>
    <xf numFmtId="0" fontId="9" fillId="0" borderId="0" xfId="0" applyFont="1" applyAlignment="1">
      <alignment vertical="top"/>
    </xf>
    <xf numFmtId="0" fontId="16" fillId="0" borderId="0" xfId="0" applyFont="1" applyAlignment="1">
      <alignment horizontal="center" vertical="center" wrapText="1"/>
    </xf>
    <xf numFmtId="0" fontId="16" fillId="0" borderId="55" xfId="0" applyFont="1" applyBorder="1" applyAlignment="1">
      <alignment horizontal="center" vertical="center" wrapText="1"/>
    </xf>
    <xf numFmtId="0" fontId="14" fillId="0" borderId="57" xfId="0" applyFont="1" applyBorder="1" applyAlignment="1">
      <alignment vertical="top" wrapText="1"/>
    </xf>
    <xf numFmtId="0" fontId="9" fillId="0" borderId="0" xfId="0" applyFont="1" applyAlignment="1" applyProtection="1">
      <alignment vertical="top"/>
      <protection locked="0"/>
    </xf>
    <xf numFmtId="9" fontId="2" fillId="0" borderId="0" xfId="2" applyFont="1" applyFill="1" applyBorder="1" applyAlignment="1" applyProtection="1">
      <alignment horizontal="center"/>
      <protection locked="0"/>
    </xf>
    <xf numFmtId="9" fontId="2" fillId="0" borderId="0" xfId="0" applyNumberFormat="1" applyFont="1"/>
    <xf numFmtId="0" fontId="4" fillId="0" borderId="0" xfId="0" applyFont="1" applyAlignment="1" applyProtection="1">
      <alignment horizontal="left" vertical="top" wrapText="1"/>
      <protection locked="0"/>
    </xf>
    <xf numFmtId="9" fontId="18" fillId="0" borderId="0" xfId="0" applyNumberFormat="1" applyFont="1" applyAlignment="1">
      <alignment horizontal="center"/>
    </xf>
    <xf numFmtId="9" fontId="18" fillId="0" borderId="0" xfId="2" applyFont="1" applyFill="1" applyBorder="1" applyAlignment="1" applyProtection="1">
      <alignment horizontal="center"/>
      <protection locked="0"/>
    </xf>
    <xf numFmtId="9" fontId="5" fillId="3" borderId="6" xfId="2" applyFont="1" applyFill="1" applyBorder="1" applyAlignment="1" applyProtection="1">
      <alignment horizontal="center" vertical="top"/>
      <protection locked="0"/>
    </xf>
    <xf numFmtId="0" fontId="5" fillId="3" borderId="58" xfId="0" applyFont="1" applyFill="1" applyBorder="1" applyAlignment="1">
      <alignment horizontal="left" vertical="top" wrapText="1"/>
    </xf>
    <xf numFmtId="0" fontId="8" fillId="0" borderId="50" xfId="0" applyFont="1" applyBorder="1" applyAlignment="1">
      <alignment horizontal="center"/>
    </xf>
    <xf numFmtId="0" fontId="8" fillId="0" borderId="59" xfId="0" applyFont="1" applyBorder="1" applyAlignment="1">
      <alignment vertical="center" wrapText="1"/>
    </xf>
    <xf numFmtId="9" fontId="2" fillId="0" borderId="60" xfId="2" applyFont="1" applyFill="1" applyBorder="1" applyAlignment="1" applyProtection="1">
      <alignment horizontal="center" vertical="top"/>
      <protection locked="0"/>
    </xf>
    <xf numFmtId="0" fontId="19" fillId="0" borderId="31" xfId="0" applyFont="1" applyBorder="1" applyAlignment="1" applyProtection="1">
      <alignment vertical="center" wrapText="1"/>
      <protection locked="0"/>
    </xf>
    <xf numFmtId="9" fontId="5" fillId="3" borderId="54" xfId="2" applyFont="1" applyFill="1" applyBorder="1" applyAlignment="1" applyProtection="1">
      <alignment horizontal="center" vertical="top" wrapText="1"/>
      <protection locked="0"/>
    </xf>
    <xf numFmtId="0" fontId="3" fillId="0" borderId="0" xfId="0" applyFont="1" applyAlignment="1">
      <alignment vertical="top" wrapText="1"/>
    </xf>
    <xf numFmtId="9" fontId="2" fillId="0" borderId="37" xfId="2" applyFont="1" applyFill="1" applyBorder="1" applyAlignment="1" applyProtection="1">
      <alignment horizontal="center" vertical="top"/>
      <protection locked="0"/>
    </xf>
    <xf numFmtId="0" fontId="6" fillId="0" borderId="31" xfId="0" applyFont="1" applyBorder="1" applyAlignment="1">
      <alignment vertical="center" wrapText="1"/>
    </xf>
    <xf numFmtId="9" fontId="5" fillId="3" borderId="62" xfId="2" applyFont="1" applyFill="1" applyBorder="1" applyAlignment="1" applyProtection="1">
      <alignment horizontal="center" vertical="top" wrapText="1"/>
      <protection locked="0"/>
    </xf>
    <xf numFmtId="9" fontId="2" fillId="0" borderId="44" xfId="0" applyNumberFormat="1" applyFont="1" applyBorder="1" applyAlignment="1">
      <alignment horizontal="center" vertical="top"/>
    </xf>
    <xf numFmtId="9" fontId="2" fillId="0" borderId="44" xfId="2" applyFont="1" applyFill="1" applyBorder="1" applyAlignment="1" applyProtection="1">
      <alignment horizontal="center" vertical="top"/>
      <protection locked="0"/>
    </xf>
    <xf numFmtId="0" fontId="4" fillId="0" borderId="63" xfId="0" applyFont="1" applyBorder="1" applyAlignment="1" applyProtection="1">
      <alignment horizontal="left" vertical="top" wrapText="1"/>
      <protection locked="0"/>
    </xf>
    <xf numFmtId="0" fontId="11" fillId="0" borderId="31" xfId="0" applyFont="1" applyBorder="1" applyAlignment="1">
      <alignment vertical="center" wrapText="1"/>
    </xf>
    <xf numFmtId="0" fontId="19" fillId="0" borderId="29" xfId="0" applyFont="1" applyBorder="1" applyAlignment="1" applyProtection="1">
      <alignment vertical="center" wrapText="1"/>
      <protection locked="0"/>
    </xf>
    <xf numFmtId="0" fontId="11" fillId="0" borderId="36" xfId="0" applyFont="1" applyBorder="1" applyAlignment="1">
      <alignment vertical="center" wrapText="1"/>
    </xf>
    <xf numFmtId="0" fontId="19" fillId="0" borderId="36" xfId="0" applyFont="1" applyBorder="1" applyAlignment="1" applyProtection="1">
      <alignment vertical="center" wrapText="1"/>
      <protection locked="0"/>
    </xf>
    <xf numFmtId="0" fontId="8" fillId="0" borderId="37" xfId="0" applyFont="1" applyBorder="1" applyAlignment="1">
      <alignment horizontal="center"/>
    </xf>
    <xf numFmtId="9" fontId="5" fillId="3" borderId="0" xfId="2" applyFont="1" applyFill="1" applyBorder="1" applyAlignment="1" applyProtection="1">
      <alignment horizontal="center" vertical="top" wrapText="1"/>
      <protection locked="0"/>
    </xf>
    <xf numFmtId="0" fontId="8" fillId="0" borderId="54" xfId="0" applyFont="1" applyBorder="1" applyAlignment="1">
      <alignment horizontal="center"/>
    </xf>
    <xf numFmtId="0" fontId="8" fillId="0" borderId="29" xfId="0" applyFont="1" applyBorder="1" applyAlignment="1">
      <alignment wrapText="1"/>
    </xf>
    <xf numFmtId="0" fontId="8" fillId="0" borderId="29" xfId="0" applyFont="1" applyBorder="1" applyAlignment="1">
      <alignment horizontal="center"/>
    </xf>
    <xf numFmtId="0" fontId="4" fillId="0" borderId="29" xfId="0" applyFont="1" applyBorder="1" applyAlignment="1">
      <alignment horizontal="left" vertical="top" wrapText="1"/>
    </xf>
    <xf numFmtId="0" fontId="4" fillId="0" borderId="29" xfId="0" applyFont="1" applyBorder="1" applyAlignment="1">
      <alignment vertical="top" wrapText="1"/>
    </xf>
    <xf numFmtId="0" fontId="6" fillId="0" borderId="29" xfId="0" applyFont="1" applyBorder="1" applyAlignment="1" applyProtection="1">
      <alignment vertical="center" wrapText="1"/>
      <protection locked="0"/>
    </xf>
    <xf numFmtId="9" fontId="5" fillId="3" borderId="51" xfId="2" applyFont="1" applyFill="1" applyBorder="1" applyAlignment="1" applyProtection="1">
      <alignment horizontal="center" vertical="top" wrapText="1"/>
      <protection locked="0"/>
    </xf>
    <xf numFmtId="0" fontId="6" fillId="0" borderId="37" xfId="0" applyFont="1" applyBorder="1" applyAlignment="1">
      <alignment vertical="top" wrapText="1"/>
    </xf>
    <xf numFmtId="0" fontId="6" fillId="0" borderId="0" xfId="0" applyFont="1" applyAlignment="1">
      <alignment vertical="top" wrapText="1"/>
    </xf>
    <xf numFmtId="9" fontId="15" fillId="0" borderId="0" xfId="2" applyFont="1" applyFill="1" applyBorder="1" applyAlignment="1" applyProtection="1">
      <alignment horizontal="center" vertical="top"/>
      <protection locked="0"/>
    </xf>
    <xf numFmtId="0" fontId="9" fillId="0" borderId="0" xfId="0" applyFont="1" applyAlignment="1">
      <alignment horizontal="left" vertical="top" wrapText="1"/>
    </xf>
    <xf numFmtId="0" fontId="20" fillId="0" borderId="0" xfId="0" applyFont="1" applyAlignment="1">
      <alignment vertical="top" wrapText="1"/>
    </xf>
    <xf numFmtId="0" fontId="5" fillId="3" borderId="65" xfId="0" applyFont="1" applyFill="1" applyBorder="1" applyAlignment="1">
      <alignment horizontal="center" vertical="top" wrapText="1"/>
    </xf>
    <xf numFmtId="0" fontId="5" fillId="3" borderId="30" xfId="0" applyFont="1" applyFill="1" applyBorder="1" applyAlignment="1">
      <alignment horizontal="center" vertical="top" wrapText="1"/>
    </xf>
    <xf numFmtId="9" fontId="5" fillId="0" borderId="0" xfId="0" applyNumberFormat="1" applyFont="1" applyAlignment="1">
      <alignment horizontal="center"/>
    </xf>
    <xf numFmtId="0" fontId="5" fillId="3" borderId="6" xfId="0" applyFont="1" applyFill="1" applyBorder="1" applyAlignment="1">
      <alignment horizontal="center" vertical="top"/>
    </xf>
    <xf numFmtId="0" fontId="10" fillId="0" borderId="31" xfId="0" applyFont="1" applyBorder="1" applyAlignment="1">
      <alignment horizontal="center" vertical="center" wrapText="1"/>
    </xf>
    <xf numFmtId="0" fontId="4" fillId="0" borderId="0" xfId="0" applyFont="1" applyAlignment="1">
      <alignment horizontal="left" vertical="top" wrapText="1"/>
    </xf>
    <xf numFmtId="0" fontId="5" fillId="4" borderId="8" xfId="0" applyFont="1" applyFill="1" applyBorder="1" applyAlignment="1">
      <alignment horizontal="center" vertical="center"/>
    </xf>
    <xf numFmtId="9" fontId="2" fillId="0" borderId="43" xfId="0" applyNumberFormat="1" applyFont="1" applyBorder="1" applyAlignment="1">
      <alignment horizontal="center" vertical="top"/>
    </xf>
    <xf numFmtId="9" fontId="2" fillId="5" borderId="39" xfId="0" applyNumberFormat="1" applyFont="1" applyFill="1" applyBorder="1" applyAlignment="1">
      <alignment horizontal="center" vertical="top"/>
    </xf>
    <xf numFmtId="9" fontId="2" fillId="6" borderId="39" xfId="0" applyNumberFormat="1" applyFont="1" applyFill="1" applyBorder="1" applyAlignment="1">
      <alignment horizontal="center" vertical="top"/>
    </xf>
    <xf numFmtId="0" fontId="5" fillId="3" borderId="32" xfId="0" applyFont="1" applyFill="1" applyBorder="1" applyAlignment="1">
      <alignment horizontal="center" vertical="top" wrapText="1"/>
    </xf>
    <xf numFmtId="0" fontId="5" fillId="3" borderId="67" xfId="0" applyFont="1" applyFill="1" applyBorder="1" applyAlignment="1">
      <alignment horizontal="center" vertical="top" wrapText="1"/>
    </xf>
    <xf numFmtId="2" fontId="5" fillId="3" borderId="66" xfId="0" applyNumberFormat="1" applyFont="1" applyFill="1" applyBorder="1" applyAlignment="1">
      <alignment horizontal="center" vertical="top" wrapText="1"/>
    </xf>
    <xf numFmtId="9" fontId="22" fillId="0" borderId="0" xfId="0" applyNumberFormat="1" applyFont="1" applyAlignment="1">
      <alignment horizontal="center"/>
    </xf>
    <xf numFmtId="9" fontId="3" fillId="0" borderId="0" xfId="0" applyNumberFormat="1" applyFont="1"/>
    <xf numFmtId="9" fontId="2" fillId="5" borderId="37" xfId="2" applyFont="1" applyFill="1" applyBorder="1" applyAlignment="1" applyProtection="1">
      <alignment horizontal="center" vertical="top"/>
      <protection locked="0"/>
    </xf>
    <xf numFmtId="0" fontId="5" fillId="3" borderId="32" xfId="0" applyFont="1" applyFill="1" applyBorder="1" applyAlignment="1">
      <alignment horizontal="center" vertical="top" wrapText="1"/>
    </xf>
    <xf numFmtId="0" fontId="5" fillId="3" borderId="67" xfId="0" applyFont="1" applyFill="1" applyBorder="1" applyAlignment="1">
      <alignment horizontal="center" vertical="top" wrapText="1"/>
    </xf>
    <xf numFmtId="2" fontId="5" fillId="3" borderId="66" xfId="0" applyNumberFormat="1" applyFont="1" applyFill="1" applyBorder="1" applyAlignment="1">
      <alignment horizontal="center" vertical="top" wrapText="1"/>
    </xf>
    <xf numFmtId="0" fontId="5" fillId="3" borderId="37" xfId="0" applyFont="1" applyFill="1" applyBorder="1" applyAlignment="1">
      <alignment horizontal="center" vertical="top" wrapText="1"/>
    </xf>
    <xf numFmtId="0" fontId="4" fillId="0" borderId="37" xfId="0" applyFont="1" applyBorder="1" applyAlignment="1">
      <alignment horizontal="left" vertical="top" wrapText="1"/>
    </xf>
    <xf numFmtId="0" fontId="4" fillId="0" borderId="0" xfId="0" applyFont="1" applyAlignment="1">
      <alignment horizontal="left" vertical="top" wrapText="1"/>
    </xf>
    <xf numFmtId="0" fontId="5" fillId="3" borderId="36" xfId="0" applyFont="1" applyFill="1" applyBorder="1" applyAlignment="1">
      <alignment horizontal="center" vertical="top" wrapText="1"/>
    </xf>
    <xf numFmtId="9" fontId="5" fillId="3" borderId="53" xfId="2" applyFont="1" applyFill="1" applyBorder="1" applyAlignment="1" applyProtection="1">
      <alignment horizontal="center" vertical="top" wrapText="1"/>
      <protection locked="0"/>
    </xf>
    <xf numFmtId="9" fontId="5" fillId="3" borderId="70" xfId="2" applyFont="1" applyFill="1" applyBorder="1" applyAlignment="1" applyProtection="1">
      <alignment horizontal="center" vertical="top" wrapText="1"/>
      <protection locked="0"/>
    </xf>
    <xf numFmtId="9" fontId="5" fillId="3" borderId="71" xfId="2" applyFont="1" applyFill="1" applyBorder="1" applyAlignment="1" applyProtection="1">
      <alignment horizontal="center" vertical="top" wrapText="1"/>
      <protection locked="0"/>
    </xf>
    <xf numFmtId="0" fontId="5" fillId="3" borderId="0" xfId="0" applyFont="1" applyFill="1" applyBorder="1" applyAlignment="1">
      <alignment horizontal="center" vertical="top" wrapText="1"/>
    </xf>
    <xf numFmtId="9" fontId="2" fillId="0" borderId="72" xfId="0" applyNumberFormat="1" applyFont="1" applyBorder="1" applyAlignment="1">
      <alignment horizontal="center" vertical="top"/>
    </xf>
    <xf numFmtId="9" fontId="2" fillId="0" borderId="73" xfId="0" applyNumberFormat="1" applyFont="1" applyBorder="1" applyAlignment="1">
      <alignment horizontal="center" vertical="top"/>
    </xf>
    <xf numFmtId="9" fontId="2" fillId="5" borderId="39" xfId="2" applyFont="1" applyFill="1" applyBorder="1" applyAlignment="1" applyProtection="1">
      <alignment horizontal="center" vertical="top"/>
      <protection locked="0"/>
    </xf>
    <xf numFmtId="9" fontId="5" fillId="3" borderId="74" xfId="2" applyFont="1" applyFill="1" applyBorder="1" applyAlignment="1" applyProtection="1">
      <alignment horizontal="center" vertical="top" wrapText="1"/>
      <protection locked="0"/>
    </xf>
    <xf numFmtId="9" fontId="2" fillId="0" borderId="0" xfId="0" applyNumberFormat="1" applyFont="1" applyFill="1" applyBorder="1" applyAlignment="1">
      <alignment horizontal="center" vertical="top"/>
    </xf>
    <xf numFmtId="0" fontId="23" fillId="0" borderId="0" xfId="0" applyFont="1" applyAlignment="1" applyProtection="1">
      <alignment horizontal="left" vertical="top"/>
      <protection locked="0"/>
    </xf>
    <xf numFmtId="0" fontId="23" fillId="0" borderId="0" xfId="0" applyFont="1"/>
    <xf numFmtId="0" fontId="23" fillId="0" borderId="0" xfId="0" applyFont="1" applyAlignment="1">
      <alignment horizontal="left" vertical="top"/>
    </xf>
    <xf numFmtId="0" fontId="24" fillId="0" borderId="0" xfId="0" applyFont="1" applyAlignment="1" applyProtection="1">
      <alignment horizontal="left" vertical="top"/>
      <protection locked="0"/>
    </xf>
    <xf numFmtId="9" fontId="5" fillId="3" borderId="71" xfId="2" applyFont="1" applyFill="1" applyBorder="1" applyAlignment="1" applyProtection="1">
      <alignment horizontal="center" vertical="top"/>
      <protection locked="0"/>
    </xf>
    <xf numFmtId="9" fontId="5" fillId="3" borderId="38" xfId="2" applyFont="1" applyFill="1" applyBorder="1" applyAlignment="1" applyProtection="1">
      <alignment horizontal="center" vertical="top" wrapText="1"/>
      <protection locked="0"/>
    </xf>
    <xf numFmtId="9" fontId="5" fillId="3" borderId="69" xfId="0" applyNumberFormat="1" applyFont="1" applyFill="1" applyBorder="1" applyAlignment="1">
      <alignment horizontal="center" vertical="top" wrapText="1"/>
    </xf>
    <xf numFmtId="9" fontId="5" fillId="0" borderId="0" xfId="2" applyFont="1" applyFill="1" applyBorder="1" applyAlignment="1" applyProtection="1">
      <alignment horizontal="center" vertical="top" wrapText="1"/>
      <protection locked="0"/>
    </xf>
    <xf numFmtId="9" fontId="5" fillId="3" borderId="45" xfId="2" applyFont="1" applyFill="1" applyBorder="1" applyAlignment="1" applyProtection="1">
      <alignment horizontal="center" vertical="top" wrapText="1"/>
      <protection locked="0"/>
    </xf>
    <xf numFmtId="0" fontId="5" fillId="3" borderId="18" xfId="0" applyFont="1" applyFill="1" applyBorder="1" applyAlignment="1">
      <alignment horizontal="center" vertical="top"/>
    </xf>
    <xf numFmtId="9" fontId="5" fillId="3" borderId="75" xfId="2" applyFont="1" applyFill="1" applyBorder="1" applyAlignment="1">
      <alignment horizontal="center" vertical="top"/>
    </xf>
    <xf numFmtId="9" fontId="5" fillId="3" borderId="71" xfId="2" applyFont="1" applyFill="1" applyBorder="1" applyAlignment="1">
      <alignment horizontal="center" vertical="top"/>
    </xf>
    <xf numFmtId="0" fontId="5" fillId="3" borderId="37" xfId="0" applyFont="1" applyFill="1" applyBorder="1" applyAlignment="1">
      <alignment vertical="top" wrapText="1"/>
    </xf>
    <xf numFmtId="0" fontId="5" fillId="3" borderId="47" xfId="0" applyFont="1" applyFill="1" applyBorder="1" applyAlignment="1">
      <alignment vertical="top" wrapText="1"/>
    </xf>
    <xf numFmtId="0" fontId="5" fillId="3" borderId="38" xfId="0" applyFont="1" applyFill="1" applyBorder="1" applyAlignment="1">
      <alignment vertical="top" wrapText="1"/>
    </xf>
    <xf numFmtId="0" fontId="5" fillId="3" borderId="51" xfId="0" applyFont="1" applyFill="1" applyBorder="1" applyAlignment="1">
      <alignment vertical="top" wrapText="1"/>
    </xf>
    <xf numFmtId="0" fontId="10" fillId="0" borderId="46" xfId="0" applyFont="1" applyBorder="1" applyAlignment="1">
      <alignment horizontal="left" vertical="top" wrapText="1"/>
    </xf>
    <xf numFmtId="2" fontId="5" fillId="3" borderId="69" xfId="0" applyNumberFormat="1" applyFont="1" applyFill="1" applyBorder="1" applyAlignment="1">
      <alignment vertical="top" wrapText="1"/>
    </xf>
    <xf numFmtId="9" fontId="2" fillId="0" borderId="0" xfId="2" applyFont="1" applyBorder="1" applyAlignment="1">
      <alignment horizontal="center" vertical="top"/>
    </xf>
    <xf numFmtId="0" fontId="5" fillId="3" borderId="76" xfId="0" applyFont="1" applyFill="1" applyBorder="1" applyAlignment="1">
      <alignment vertical="top" wrapText="1"/>
    </xf>
    <xf numFmtId="0" fontId="5" fillId="3" borderId="36" xfId="0" applyFont="1" applyFill="1" applyBorder="1" applyAlignment="1">
      <alignment vertical="top" wrapText="1"/>
    </xf>
    <xf numFmtId="0" fontId="5" fillId="3" borderId="52" xfId="0" applyFont="1" applyFill="1" applyBorder="1" applyAlignment="1">
      <alignment vertical="top" wrapText="1"/>
    </xf>
    <xf numFmtId="9" fontId="2" fillId="0" borderId="77" xfId="2" applyFont="1" applyFill="1" applyBorder="1" applyAlignment="1" applyProtection="1">
      <alignment horizontal="center" vertical="top"/>
      <protection locked="0"/>
    </xf>
    <xf numFmtId="0" fontId="5" fillId="3" borderId="0" xfId="0" applyFont="1" applyFill="1" applyBorder="1" applyAlignment="1">
      <alignment vertical="top" wrapText="1"/>
    </xf>
    <xf numFmtId="9" fontId="5" fillId="3" borderId="78" xfId="0" applyNumberFormat="1" applyFont="1" applyFill="1" applyBorder="1" applyAlignment="1">
      <alignment horizontal="center" vertical="top"/>
    </xf>
    <xf numFmtId="9" fontId="5" fillId="3" borderId="64" xfId="2" applyFont="1" applyFill="1" applyBorder="1" applyAlignment="1">
      <alignment horizontal="center" vertical="top"/>
    </xf>
    <xf numFmtId="2" fontId="5" fillId="3" borderId="46" xfId="0" applyNumberFormat="1" applyFont="1" applyFill="1" applyBorder="1" applyAlignment="1">
      <alignment vertical="top" wrapText="1"/>
    </xf>
    <xf numFmtId="0" fontId="4" fillId="0" borderId="0" xfId="0" applyFont="1" applyBorder="1" applyAlignment="1">
      <alignment vertical="top"/>
    </xf>
    <xf numFmtId="9" fontId="5" fillId="3" borderId="79" xfId="2" applyFont="1" applyFill="1" applyBorder="1" applyAlignment="1">
      <alignment horizontal="center" vertical="top"/>
    </xf>
    <xf numFmtId="0" fontId="4" fillId="0" borderId="47" xfId="0" applyFont="1" applyBorder="1" applyAlignment="1" applyProtection="1">
      <alignment horizontal="center" vertical="top" wrapText="1"/>
      <protection locked="0"/>
    </xf>
    <xf numFmtId="2" fontId="5" fillId="3" borderId="47" xfId="0" applyNumberFormat="1" applyFont="1" applyFill="1" applyBorder="1" applyAlignment="1">
      <alignment vertical="top" wrapText="1"/>
    </xf>
    <xf numFmtId="9" fontId="5" fillId="3" borderId="0" xfId="2" applyFont="1" applyFill="1" applyBorder="1" applyAlignment="1">
      <alignment horizontal="center" vertical="top" wrapText="1"/>
    </xf>
    <xf numFmtId="9" fontId="5" fillId="3" borderId="70" xfId="2" applyFont="1" applyFill="1" applyBorder="1" applyAlignment="1">
      <alignment horizontal="center" vertical="top" wrapText="1"/>
    </xf>
    <xf numFmtId="9" fontId="5" fillId="3" borderId="53" xfId="2" applyFont="1" applyFill="1" applyBorder="1" applyAlignment="1">
      <alignment horizontal="center" vertical="top"/>
    </xf>
    <xf numFmtId="9" fontId="2" fillId="0" borderId="36" xfId="0" applyNumberFormat="1" applyFont="1" applyBorder="1" applyAlignment="1">
      <alignment horizontal="center" vertical="top"/>
    </xf>
    <xf numFmtId="9" fontId="2" fillId="5" borderId="80" xfId="0" applyNumberFormat="1" applyFont="1" applyFill="1" applyBorder="1" applyAlignment="1" applyProtection="1">
      <alignment horizontal="center" vertical="top"/>
      <protection locked="0"/>
    </xf>
    <xf numFmtId="0" fontId="26" fillId="0" borderId="0" xfId="0" applyFont="1"/>
    <xf numFmtId="0" fontId="14" fillId="0" borderId="0" xfId="0" applyFont="1" applyFill="1"/>
    <xf numFmtId="0" fontId="15" fillId="0" borderId="0" xfId="0" applyFont="1" applyFill="1" applyAlignment="1">
      <alignment vertical="top"/>
    </xf>
    <xf numFmtId="9" fontId="5" fillId="0" borderId="0" xfId="0" applyNumberFormat="1" applyFont="1" applyAlignment="1" applyProtection="1">
      <alignment horizontal="center"/>
      <protection hidden="1"/>
    </xf>
    <xf numFmtId="0" fontId="27" fillId="2" borderId="0" xfId="0" applyFont="1" applyFill="1" applyAlignment="1">
      <alignment horizontal="center" vertical="top" wrapText="1"/>
    </xf>
    <xf numFmtId="0" fontId="10" fillId="0" borderId="31" xfId="0" applyFont="1" applyBorder="1" applyAlignment="1">
      <alignment horizontal="center" vertical="center" wrapText="1"/>
    </xf>
    <xf numFmtId="0" fontId="10" fillId="0" borderId="40" xfId="0" applyFont="1" applyBorder="1" applyAlignment="1">
      <alignment horizontal="center" vertical="center" wrapText="1"/>
    </xf>
    <xf numFmtId="0" fontId="4" fillId="0" borderId="31" xfId="0" applyFont="1" applyBorder="1" applyAlignment="1" applyProtection="1">
      <alignment horizontal="left" vertical="top" wrapText="1"/>
      <protection locked="0"/>
    </xf>
    <xf numFmtId="0" fontId="4" fillId="0" borderId="40" xfId="0" applyFont="1" applyBorder="1" applyAlignment="1" applyProtection="1">
      <alignment horizontal="left" vertical="top" wrapText="1"/>
      <protection locked="0"/>
    </xf>
    <xf numFmtId="0" fontId="12" fillId="0" borderId="31" xfId="0" applyFont="1" applyBorder="1" applyAlignment="1" applyProtection="1">
      <alignment horizontal="left" vertical="top" wrapText="1"/>
      <protection locked="0"/>
    </xf>
    <xf numFmtId="0" fontId="12" fillId="0" borderId="40" xfId="0" applyFont="1" applyBorder="1" applyAlignment="1" applyProtection="1">
      <alignment horizontal="left" vertical="top" wrapText="1"/>
      <protection locked="0"/>
    </xf>
    <xf numFmtId="0" fontId="10" fillId="0" borderId="53" xfId="0" applyFont="1" applyBorder="1" applyAlignment="1">
      <alignment horizontal="center" vertical="center" wrapText="1"/>
    </xf>
    <xf numFmtId="0" fontId="4" fillId="0" borderId="61" xfId="0" applyFont="1" applyBorder="1" applyAlignment="1" applyProtection="1">
      <alignment horizontal="left" vertical="top" wrapText="1"/>
      <protection locked="0"/>
    </xf>
    <xf numFmtId="0" fontId="4" fillId="0" borderId="68" xfId="0" applyFont="1" applyBorder="1" applyAlignment="1" applyProtection="1">
      <alignment horizontal="left" vertical="top" wrapText="1"/>
      <protection locked="0"/>
    </xf>
    <xf numFmtId="0" fontId="5" fillId="3" borderId="6" xfId="0" applyFont="1" applyFill="1" applyBorder="1" applyAlignment="1">
      <alignment horizontal="center" vertical="top"/>
    </xf>
    <xf numFmtId="0" fontId="5" fillId="3" borderId="28" xfId="0" applyFont="1" applyFill="1" applyBorder="1" applyAlignment="1">
      <alignment horizontal="center" vertical="top"/>
    </xf>
    <xf numFmtId="0" fontId="5" fillId="3" borderId="4" xfId="0" applyFont="1" applyFill="1" applyBorder="1" applyAlignment="1">
      <alignment horizontal="center" vertical="top" wrapText="1"/>
    </xf>
    <xf numFmtId="0" fontId="5" fillId="3" borderId="28" xfId="0" applyFont="1" applyFill="1" applyBorder="1" applyAlignment="1">
      <alignment horizontal="center" vertical="top" wrapText="1"/>
    </xf>
    <xf numFmtId="0" fontId="17" fillId="0" borderId="55" xfId="0" applyFont="1" applyBorder="1" applyAlignment="1">
      <alignment horizontal="center" wrapText="1"/>
    </xf>
    <xf numFmtId="0" fontId="17" fillId="0" borderId="56" xfId="0" applyFont="1" applyBorder="1" applyAlignment="1">
      <alignment horizontal="center" wrapText="1"/>
    </xf>
    <xf numFmtId="0" fontId="10" fillId="0" borderId="36" xfId="0" applyFont="1" applyBorder="1" applyAlignment="1">
      <alignment horizontal="center" vertical="center" wrapText="1"/>
    </xf>
    <xf numFmtId="0" fontId="10" fillId="0" borderId="52" xfId="0" applyFont="1" applyBorder="1" applyAlignment="1">
      <alignment horizontal="center" vertical="center" wrapText="1"/>
    </xf>
    <xf numFmtId="0" fontId="7" fillId="4" borderId="31" xfId="0" applyFont="1" applyFill="1" applyBorder="1" applyAlignment="1">
      <alignment horizontal="center" vertical="center" textRotation="90" wrapText="1"/>
    </xf>
    <xf numFmtId="0" fontId="7" fillId="4" borderId="35" xfId="0" applyFont="1" applyFill="1" applyBorder="1" applyAlignment="1">
      <alignment horizontal="center" vertical="center" textRotation="90" wrapText="1"/>
    </xf>
    <xf numFmtId="0" fontId="7" fillId="4" borderId="40" xfId="0" applyFont="1" applyFill="1" applyBorder="1" applyAlignment="1">
      <alignment horizontal="center" vertical="center" textRotation="90" wrapText="1"/>
    </xf>
    <xf numFmtId="0" fontId="10" fillId="0" borderId="41" xfId="0" applyFont="1" applyBorder="1" applyAlignment="1">
      <alignment horizontal="center" vertical="center" wrapText="1"/>
    </xf>
    <xf numFmtId="0" fontId="4" fillId="0" borderId="31" xfId="0" applyFont="1" applyBorder="1" applyAlignment="1">
      <alignment horizontal="left" vertical="top" wrapText="1"/>
    </xf>
    <xf numFmtId="0" fontId="4" fillId="0" borderId="40" xfId="0" applyFont="1" applyBorder="1" applyAlignment="1">
      <alignment horizontal="left" vertical="top" wrapText="1"/>
    </xf>
    <xf numFmtId="0" fontId="10" fillId="0" borderId="38" xfId="0" applyFont="1" applyBorder="1" applyAlignment="1">
      <alignment horizontal="center" vertical="center" wrapText="1"/>
    </xf>
    <xf numFmtId="0" fontId="4" fillId="0" borderId="38" xfId="0" applyFont="1" applyBorder="1" applyAlignment="1" applyProtection="1">
      <alignment horizontal="left" vertical="top" wrapText="1"/>
      <protection locked="0"/>
    </xf>
    <xf numFmtId="0" fontId="4" fillId="0" borderId="53" xfId="0" applyFont="1" applyBorder="1" applyAlignment="1" applyProtection="1">
      <alignment horizontal="left" vertical="top" wrapText="1"/>
      <protection locked="0"/>
    </xf>
    <xf numFmtId="0" fontId="5" fillId="3" borderId="4" xfId="0" applyFont="1" applyFill="1" applyBorder="1" applyAlignment="1">
      <alignment horizontal="center" vertical="top"/>
    </xf>
    <xf numFmtId="0" fontId="7" fillId="4" borderId="29" xfId="0" applyFont="1" applyFill="1" applyBorder="1" applyAlignment="1">
      <alignment horizontal="center" vertical="center" textRotation="90" wrapText="1"/>
    </xf>
    <xf numFmtId="0" fontId="9" fillId="0" borderId="31" xfId="0" applyFont="1" applyBorder="1" applyAlignment="1" applyProtection="1">
      <alignment horizontal="left" vertical="center" wrapText="1"/>
      <protection locked="0"/>
    </xf>
    <xf numFmtId="0" fontId="9" fillId="0" borderId="35" xfId="0" applyFont="1" applyBorder="1" applyAlignment="1" applyProtection="1">
      <alignment horizontal="left" vertical="center" wrapText="1"/>
      <protection locked="0"/>
    </xf>
    <xf numFmtId="0" fontId="4" fillId="0" borderId="35" xfId="0" applyFont="1" applyBorder="1" applyAlignment="1" applyProtection="1">
      <alignment horizontal="left" vertical="top" wrapText="1"/>
      <protection locked="0"/>
    </xf>
    <xf numFmtId="0" fontId="5" fillId="3" borderId="37" xfId="0" applyFont="1" applyFill="1" applyBorder="1" applyAlignment="1">
      <alignment horizontal="center" vertical="top" wrapText="1"/>
    </xf>
    <xf numFmtId="0" fontId="5" fillId="3" borderId="47" xfId="0" applyFont="1" applyFill="1" applyBorder="1" applyAlignment="1">
      <alignment horizontal="center" vertical="top" wrapText="1"/>
    </xf>
    <xf numFmtId="0" fontId="4" fillId="0" borderId="0" xfId="0" applyFont="1" applyAlignment="1">
      <alignment horizontal="left" vertical="top" wrapText="1"/>
    </xf>
    <xf numFmtId="0" fontId="5" fillId="3" borderId="38" xfId="0" applyFont="1" applyFill="1" applyBorder="1" applyAlignment="1">
      <alignment horizontal="center" vertical="top" wrapText="1"/>
    </xf>
    <xf numFmtId="0" fontId="4" fillId="0" borderId="35" xfId="0" applyFont="1" applyBorder="1" applyAlignment="1">
      <alignment horizontal="left" vertical="top" wrapText="1"/>
    </xf>
    <xf numFmtId="0" fontId="9" fillId="0" borderId="36" xfId="0" applyFont="1" applyBorder="1" applyAlignment="1" applyProtection="1">
      <alignment horizontal="left" vertical="center" wrapText="1"/>
      <protection locked="0"/>
    </xf>
    <xf numFmtId="0" fontId="9" fillId="0" borderId="46" xfId="0" applyFont="1" applyBorder="1" applyAlignment="1" applyProtection="1">
      <alignment horizontal="left" vertical="center" wrapText="1"/>
      <protection locked="0"/>
    </xf>
    <xf numFmtId="0" fontId="9" fillId="0" borderId="52" xfId="0" applyFont="1" applyBorder="1" applyAlignment="1" applyProtection="1">
      <alignment horizontal="left" vertical="center" wrapText="1"/>
      <protection locked="0"/>
    </xf>
    <xf numFmtId="0" fontId="12" fillId="0" borderId="31" xfId="0" applyFont="1" applyBorder="1" applyAlignment="1">
      <alignment horizontal="left" vertical="top" wrapText="1"/>
    </xf>
    <xf numFmtId="0" fontId="12" fillId="0" borderId="35" xfId="0" applyFont="1" applyBorder="1" applyAlignment="1">
      <alignment horizontal="left" vertical="top" wrapText="1"/>
    </xf>
    <xf numFmtId="0" fontId="12" fillId="0" borderId="40" xfId="0" applyFont="1" applyBorder="1" applyAlignment="1">
      <alignment horizontal="left" vertical="top" wrapText="1"/>
    </xf>
    <xf numFmtId="0" fontId="4" fillId="0" borderId="37" xfId="0" applyFont="1" applyBorder="1" applyAlignment="1">
      <alignment horizontal="left" vertical="top" wrapText="1"/>
    </xf>
    <xf numFmtId="0" fontId="4" fillId="0" borderId="51" xfId="0" applyFont="1" applyBorder="1" applyAlignment="1">
      <alignment horizontal="left" vertical="top" wrapText="1"/>
    </xf>
    <xf numFmtId="0" fontId="9" fillId="0" borderId="40" xfId="0" applyFont="1" applyBorder="1" applyAlignment="1" applyProtection="1">
      <alignment horizontal="left" vertical="center" wrapText="1"/>
      <protection locked="0"/>
    </xf>
    <xf numFmtId="0" fontId="4" fillId="0" borderId="47" xfId="0" applyFont="1" applyBorder="1" applyAlignment="1" applyProtection="1">
      <alignment horizontal="left" vertical="top" wrapText="1"/>
      <protection locked="0"/>
    </xf>
    <xf numFmtId="0" fontId="4" fillId="0" borderId="38" xfId="0" applyFont="1" applyBorder="1" applyAlignment="1">
      <alignment horizontal="left" vertical="top" wrapText="1"/>
    </xf>
    <xf numFmtId="0" fontId="12" fillId="0" borderId="38" xfId="0" applyFont="1" applyBorder="1" applyAlignment="1">
      <alignment horizontal="left" vertical="top" wrapText="1"/>
    </xf>
    <xf numFmtId="0" fontId="5" fillId="3" borderId="1" xfId="0" applyFont="1" applyFill="1" applyBorder="1" applyAlignment="1">
      <alignment horizontal="center" vertical="top"/>
    </xf>
    <xf numFmtId="0" fontId="5" fillId="3" borderId="2" xfId="0" applyFont="1" applyFill="1" applyBorder="1" applyAlignment="1">
      <alignment horizontal="center" vertical="top"/>
    </xf>
    <xf numFmtId="0" fontId="5" fillId="3" borderId="3" xfId="0" applyFont="1" applyFill="1" applyBorder="1" applyAlignment="1">
      <alignment horizontal="center" vertical="top"/>
    </xf>
    <xf numFmtId="0" fontId="5" fillId="3" borderId="5" xfId="0" applyFont="1" applyFill="1" applyBorder="1" applyAlignment="1">
      <alignment horizontal="center" vertical="top"/>
    </xf>
    <xf numFmtId="0" fontId="5" fillId="3" borderId="6" xfId="0" applyFont="1" applyFill="1" applyBorder="1" applyAlignment="1">
      <alignment horizontal="center" vertical="top" wrapText="1"/>
    </xf>
    <xf numFmtId="0" fontId="5" fillId="3" borderId="7" xfId="0" applyFont="1" applyFill="1" applyBorder="1" applyAlignment="1">
      <alignment horizontal="center" vertical="top" wrapText="1"/>
    </xf>
    <xf numFmtId="0" fontId="5" fillId="4" borderId="8" xfId="0" applyFont="1" applyFill="1" applyBorder="1" applyAlignment="1">
      <alignment horizontal="center" vertical="center"/>
    </xf>
    <xf numFmtId="0" fontId="5" fillId="4" borderId="18" xfId="0" applyFont="1" applyFill="1" applyBorder="1" applyAlignment="1">
      <alignment horizontal="center" vertical="center"/>
    </xf>
    <xf numFmtId="9" fontId="2" fillId="0" borderId="10" xfId="2" applyFont="1" applyFill="1" applyBorder="1" applyAlignment="1">
      <alignment horizontal="center" vertical="center"/>
    </xf>
    <xf numFmtId="9" fontId="2" fillId="0" borderId="22" xfId="2" applyFont="1" applyFill="1" applyBorder="1" applyAlignment="1">
      <alignment horizontal="center" vertical="center"/>
    </xf>
    <xf numFmtId="1" fontId="2" fillId="0" borderId="11" xfId="2" applyNumberFormat="1" applyFont="1" applyFill="1" applyBorder="1" applyAlignment="1">
      <alignment horizontal="center" vertical="center"/>
    </xf>
    <xf numFmtId="1" fontId="2" fillId="0" borderId="23" xfId="2" applyNumberFormat="1" applyFont="1" applyFill="1" applyBorder="1" applyAlignment="1">
      <alignment horizontal="center" vertical="center"/>
    </xf>
    <xf numFmtId="9" fontId="2" fillId="5" borderId="14" xfId="2" applyFont="1" applyFill="1" applyBorder="1" applyAlignment="1">
      <alignment horizontal="center" vertical="center"/>
    </xf>
    <xf numFmtId="164" fontId="2" fillId="0" borderId="14" xfId="1" applyNumberFormat="1" applyFont="1" applyFill="1" applyBorder="1" applyAlignment="1">
      <alignment horizontal="center" vertical="center"/>
    </xf>
    <xf numFmtId="0" fontId="5" fillId="4" borderId="16" xfId="0" applyFont="1" applyFill="1" applyBorder="1" applyAlignment="1">
      <alignment horizontal="center" vertical="center"/>
    </xf>
    <xf numFmtId="0" fontId="2" fillId="0" borderId="0" xfId="0" applyFont="1" applyAlignment="1">
      <alignment horizontal="center" vertical="top"/>
    </xf>
  </cellXfs>
  <cellStyles count="3">
    <cellStyle name="Comma" xfId="1" builtinId="3"/>
    <cellStyle name="Normal" xfId="0" builtinId="0"/>
    <cellStyle name="Percent" xfId="2" builtinId="5"/>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aredStrings" Target="sharedStrings.xml"/><Relationship Id="rId5" Type="http://schemas.openxmlformats.org/officeDocument/2006/relationships/worksheet" Target="worksheets/sheet5.xml"/><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theme" Target="theme/theme1.xml"/></Relationships>
</file>

<file path=xl/ctrlProps/ctrlProp1.xml><?xml version="1.0" encoding="utf-8"?>
<formControlPr xmlns="http://schemas.microsoft.com/office/spreadsheetml/2009/9/main" objectType="Radio" firstButton="1" fmlaLink="$R$5" lockText="1" noThreeD="1"/>
</file>

<file path=xl/ctrlProps/ctrlProp2.xml><?xml version="1.0" encoding="utf-8"?>
<formControlPr xmlns="http://schemas.microsoft.com/office/spreadsheetml/2009/9/main" objectType="Radio" lockText="1" noThreeD="1"/>
</file>

<file path=xl/ctrlProps/ctrlProp3.xml><?xml version="1.0" encoding="utf-8"?>
<formControlPr xmlns="http://schemas.microsoft.com/office/spreadsheetml/2009/9/main" objectType="Radio" checked="Checked" lockText="1" noThreeD="1"/>
</file>

<file path=xl/ctrlProps/ctrlProp4.xml><?xml version="1.0" encoding="utf-8"?>
<formControlPr xmlns="http://schemas.microsoft.com/office/spreadsheetml/2009/9/main" objectType="Radio" lockText="1" noThreeD="1"/>
</file>

<file path=xl/ctrlProps/ctrlProp5.xml><?xml version="1.0" encoding="utf-8"?>
<formControlPr xmlns="http://schemas.microsoft.com/office/spreadsheetml/2009/9/main" objectType="Radio" lockText="1" noThreeD="1"/>
</file>

<file path=xl/ctrlProps/ctrlProp6.xml><?xml version="1.0" encoding="utf-8"?>
<formControlPr xmlns="http://schemas.microsoft.com/office/spreadsheetml/2009/9/main" objectType="Radio" lockText="1" noThreeD="1"/>
</file>

<file path=xl/drawings/_rels/drawing2.xml.rels><?xml version="1.0" encoding="UTF-8" standalone="yes"?>
<Relationships xmlns="http://schemas.openxmlformats.org/package/2006/relationships"><Relationship Id="rId2" Type="http://schemas.openxmlformats.org/officeDocument/2006/relationships/image" Target="../media/image2.jpeg"/><Relationship Id="rId1" Type="http://schemas.openxmlformats.org/officeDocument/2006/relationships/image" Target="../media/image1.jpeg"/></Relationships>
</file>

<file path=xl/drawings/_rels/drawing3.xml.rels><?xml version="1.0" encoding="UTF-8" standalone="yes"?>
<Relationships xmlns="http://schemas.openxmlformats.org/package/2006/relationships"><Relationship Id="rId2" Type="http://schemas.openxmlformats.org/officeDocument/2006/relationships/image" Target="../media/image2.jpeg"/><Relationship Id="rId1" Type="http://schemas.openxmlformats.org/officeDocument/2006/relationships/image" Target="../media/image1.jpeg"/></Relationships>
</file>

<file path=xl/drawings/_rels/drawing4.xml.rels><?xml version="1.0" encoding="UTF-8" standalone="yes"?>
<Relationships xmlns="http://schemas.openxmlformats.org/package/2006/relationships"><Relationship Id="rId2" Type="http://schemas.openxmlformats.org/officeDocument/2006/relationships/image" Target="../media/image2.jpeg"/><Relationship Id="rId1" Type="http://schemas.openxmlformats.org/officeDocument/2006/relationships/image" Target="../media/image1.jpeg"/></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21771</xdr:colOff>
          <xdr:row>4</xdr:row>
          <xdr:rowOff>16329</xdr:rowOff>
        </xdr:from>
        <xdr:to>
          <xdr:col>3</xdr:col>
          <xdr:colOff>386443</xdr:colOff>
          <xdr:row>5</xdr:row>
          <xdr:rowOff>163286</xdr:rowOff>
        </xdr:to>
        <xdr:sp macro="" textlink="">
          <xdr:nvSpPr>
            <xdr:cNvPr id="1025" name="Option Button 1" hidden="1">
              <a:extLst>
                <a:ext uri="{63B3BB69-23CF-44E3-9099-C40C66FF867C}">
                  <a14:compatExt spid="_x0000_s1025"/>
                </a:ext>
                <a:ext uri="{FF2B5EF4-FFF2-40B4-BE49-F238E27FC236}">
                  <a16:creationId xmlns:a16="http://schemas.microsoft.com/office/drawing/2014/main" id="{00000000-0008-0000-0000-000001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36576" rIns="0" bIns="36576" anchor="ctr" upright="1"/>
            <a:lstStyle/>
            <a:p>
              <a:pPr algn="l" rtl="0">
                <a:defRPr sz="1000"/>
              </a:pPr>
              <a:r>
                <a:rPr lang="en-CA" sz="800" b="0" i="0" u="none" strike="noStrike" baseline="0">
                  <a:solidFill>
                    <a:srgbClr val="000000"/>
                  </a:solidFill>
                  <a:latin typeface="Segoe UI"/>
                  <a:cs typeface="Segoe UI"/>
                </a:rPr>
                <a:t> Technical Delivery - Principal</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16329</xdr:colOff>
          <xdr:row>6</xdr:row>
          <xdr:rowOff>21771</xdr:rowOff>
        </xdr:from>
        <xdr:to>
          <xdr:col>3</xdr:col>
          <xdr:colOff>517071</xdr:colOff>
          <xdr:row>7</xdr:row>
          <xdr:rowOff>168729</xdr:rowOff>
        </xdr:to>
        <xdr:sp macro="" textlink="">
          <xdr:nvSpPr>
            <xdr:cNvPr id="1026" name="Option Button 2" hidden="1">
              <a:extLst>
                <a:ext uri="{63B3BB69-23CF-44E3-9099-C40C66FF867C}">
                  <a14:compatExt spid="_x0000_s1026"/>
                </a:ext>
                <a:ext uri="{FF2B5EF4-FFF2-40B4-BE49-F238E27FC236}">
                  <a16:creationId xmlns:a16="http://schemas.microsoft.com/office/drawing/2014/main" id="{00000000-0008-0000-0000-000002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36576" rIns="0" bIns="36576" anchor="ctr" upright="1"/>
            <a:lstStyle/>
            <a:p>
              <a:pPr algn="l" rtl="0">
                <a:defRPr sz="1000"/>
              </a:pPr>
              <a:r>
                <a:rPr lang="en-CA" sz="800" b="0" i="0" u="none" strike="noStrike" baseline="0">
                  <a:solidFill>
                    <a:srgbClr val="000000"/>
                  </a:solidFill>
                  <a:latin typeface="Segoe UI"/>
                  <a:cs typeface="Segoe UI"/>
                </a:rPr>
                <a:t>Buisness Development - Principal</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16329</xdr:colOff>
          <xdr:row>8</xdr:row>
          <xdr:rowOff>16329</xdr:rowOff>
        </xdr:from>
        <xdr:to>
          <xdr:col>2</xdr:col>
          <xdr:colOff>647700</xdr:colOff>
          <xdr:row>9</xdr:row>
          <xdr:rowOff>163286</xdr:rowOff>
        </xdr:to>
        <xdr:sp macro="" textlink="">
          <xdr:nvSpPr>
            <xdr:cNvPr id="1027" name="Option Button 3" hidden="1">
              <a:extLst>
                <a:ext uri="{63B3BB69-23CF-44E3-9099-C40C66FF867C}">
                  <a14:compatExt spid="_x0000_s1027"/>
                </a:ext>
                <a:ext uri="{FF2B5EF4-FFF2-40B4-BE49-F238E27FC236}">
                  <a16:creationId xmlns:a16="http://schemas.microsoft.com/office/drawing/2014/main" id="{00000000-0008-0000-0000-000003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36576" rIns="0" bIns="36576" anchor="ctr" upright="1"/>
            <a:lstStyle/>
            <a:p>
              <a:pPr algn="l" rtl="0">
                <a:defRPr sz="1000"/>
              </a:pPr>
              <a:r>
                <a:rPr lang="en-CA" sz="800" b="0" i="0" u="none" strike="noStrike" baseline="0">
                  <a:solidFill>
                    <a:srgbClr val="000000"/>
                  </a:solidFill>
                  <a:latin typeface="Segoe UI"/>
                  <a:cs typeface="Segoe UI"/>
                </a:rPr>
                <a:t> Technical / BD - Principal</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10886</xdr:colOff>
          <xdr:row>10</xdr:row>
          <xdr:rowOff>10886</xdr:rowOff>
        </xdr:from>
        <xdr:to>
          <xdr:col>3</xdr:col>
          <xdr:colOff>625929</xdr:colOff>
          <xdr:row>11</xdr:row>
          <xdr:rowOff>157843</xdr:rowOff>
        </xdr:to>
        <xdr:sp macro="" textlink="">
          <xdr:nvSpPr>
            <xdr:cNvPr id="1028" name="Option Button 4" hidden="1">
              <a:extLst>
                <a:ext uri="{63B3BB69-23CF-44E3-9099-C40C66FF867C}">
                  <a14:compatExt spid="_x0000_s1028"/>
                </a:ext>
                <a:ext uri="{FF2B5EF4-FFF2-40B4-BE49-F238E27FC236}">
                  <a16:creationId xmlns:a16="http://schemas.microsoft.com/office/drawing/2014/main" id="{00000000-0008-0000-0000-000004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36576" rIns="0" bIns="36576" anchor="ctr" upright="1"/>
            <a:lstStyle/>
            <a:p>
              <a:pPr algn="l" rtl="0">
                <a:defRPr sz="1000"/>
              </a:pPr>
              <a:r>
                <a:rPr lang="en-CA" sz="800" b="0" i="0" u="none" strike="noStrike" baseline="0">
                  <a:solidFill>
                    <a:srgbClr val="000000"/>
                  </a:solidFill>
                  <a:latin typeface="Segoe UI"/>
                  <a:cs typeface="Segoe UI"/>
                </a:rPr>
                <a:t> Technical Delivery - (Sr.) Associate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5443</xdr:colOff>
          <xdr:row>12</xdr:row>
          <xdr:rowOff>0</xdr:rowOff>
        </xdr:from>
        <xdr:to>
          <xdr:col>3</xdr:col>
          <xdr:colOff>620486</xdr:colOff>
          <xdr:row>13</xdr:row>
          <xdr:rowOff>146957</xdr:rowOff>
        </xdr:to>
        <xdr:sp macro="" textlink="">
          <xdr:nvSpPr>
            <xdr:cNvPr id="1029" name="Option Button 5" hidden="1">
              <a:extLst>
                <a:ext uri="{63B3BB69-23CF-44E3-9099-C40C66FF867C}">
                  <a14:compatExt spid="_x0000_s1029"/>
                </a:ext>
                <a:ext uri="{FF2B5EF4-FFF2-40B4-BE49-F238E27FC236}">
                  <a16:creationId xmlns:a16="http://schemas.microsoft.com/office/drawing/2014/main" id="{00000000-0008-0000-0000-000005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36576" rIns="0" bIns="36576" anchor="ctr" upright="1"/>
            <a:lstStyle/>
            <a:p>
              <a:pPr algn="l" rtl="0">
                <a:defRPr sz="1000"/>
              </a:pPr>
              <a:r>
                <a:rPr lang="en-CA" sz="800" b="0" i="0" u="none" strike="noStrike" baseline="0">
                  <a:solidFill>
                    <a:srgbClr val="000000"/>
                  </a:solidFill>
                  <a:latin typeface="Segoe UI"/>
                  <a:cs typeface="Segoe UI"/>
                </a:rPr>
                <a:t> Buisness Development - (Sr.) Associate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16329</xdr:colOff>
          <xdr:row>13</xdr:row>
          <xdr:rowOff>185057</xdr:rowOff>
        </xdr:from>
        <xdr:to>
          <xdr:col>3</xdr:col>
          <xdr:colOff>604157</xdr:colOff>
          <xdr:row>15</xdr:row>
          <xdr:rowOff>146957</xdr:rowOff>
        </xdr:to>
        <xdr:sp macro="" textlink="">
          <xdr:nvSpPr>
            <xdr:cNvPr id="1030" name="Option Button 6" hidden="1">
              <a:extLst>
                <a:ext uri="{63B3BB69-23CF-44E3-9099-C40C66FF867C}">
                  <a14:compatExt spid="_x0000_s1030"/>
                </a:ext>
                <a:ext uri="{FF2B5EF4-FFF2-40B4-BE49-F238E27FC236}">
                  <a16:creationId xmlns:a16="http://schemas.microsoft.com/office/drawing/2014/main" id="{00000000-0008-0000-0000-000006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36576" rIns="0" bIns="36576" anchor="ctr" upright="1"/>
            <a:lstStyle/>
            <a:p>
              <a:pPr algn="l" rtl="0">
                <a:defRPr sz="1000"/>
              </a:pPr>
              <a:r>
                <a:rPr lang="en-CA" sz="800" b="0" i="0" u="none" strike="noStrike" baseline="0">
                  <a:solidFill>
                    <a:srgbClr val="000000"/>
                  </a:solidFill>
                  <a:latin typeface="Segoe UI"/>
                  <a:cs typeface="Segoe UI"/>
                </a:rPr>
                <a:t> Technical / BD - (Sr.) Associate</a:t>
              </a:r>
            </a:p>
          </xdr:txBody>
        </xdr:sp>
        <xdr:clientData/>
      </xdr:twoCellAnchor>
    </mc:Choice>
    <mc:Fallback/>
  </mc:AlternateContent>
</xdr:wsDr>
</file>

<file path=xl/drawings/drawing2.xml><?xml version="1.0" encoding="utf-8"?>
<xdr:wsDr xmlns:xdr="http://schemas.openxmlformats.org/drawingml/2006/spreadsheetDrawing" xmlns:a="http://schemas.openxmlformats.org/drawingml/2006/main">
  <xdr:twoCellAnchor editAs="oneCell">
    <xdr:from>
      <xdr:col>5</xdr:col>
      <xdr:colOff>0</xdr:colOff>
      <xdr:row>0</xdr:row>
      <xdr:rowOff>114828</xdr:rowOff>
    </xdr:from>
    <xdr:to>
      <xdr:col>5</xdr:col>
      <xdr:colOff>20002</xdr:colOff>
      <xdr:row>1</xdr:row>
      <xdr:rowOff>170739</xdr:rowOff>
    </xdr:to>
    <xdr:pic>
      <xdr:nvPicPr>
        <xdr:cNvPr id="2" name="Picture 1">
          <a:extLst>
            <a:ext uri="{FF2B5EF4-FFF2-40B4-BE49-F238E27FC236}">
              <a16:creationId xmlns:a16="http://schemas.microsoft.com/office/drawing/2014/main" id="{00000000-0008-0000-0400-000002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15637329" y="114828"/>
          <a:ext cx="20002" cy="262739"/>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5</xdr:col>
      <xdr:colOff>0</xdr:colOff>
      <xdr:row>0</xdr:row>
      <xdr:rowOff>114828</xdr:rowOff>
    </xdr:from>
    <xdr:to>
      <xdr:col>5</xdr:col>
      <xdr:colOff>20002</xdr:colOff>
      <xdr:row>1</xdr:row>
      <xdr:rowOff>170739</xdr:rowOff>
    </xdr:to>
    <xdr:pic>
      <xdr:nvPicPr>
        <xdr:cNvPr id="3" name="Picture 2">
          <a:extLst>
            <a:ext uri="{FF2B5EF4-FFF2-40B4-BE49-F238E27FC236}">
              <a16:creationId xmlns:a16="http://schemas.microsoft.com/office/drawing/2014/main" id="{00000000-0008-0000-0400-000003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15637329" y="114828"/>
          <a:ext cx="20002" cy="262739"/>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5</xdr:col>
      <xdr:colOff>0</xdr:colOff>
      <xdr:row>0</xdr:row>
      <xdr:rowOff>114828</xdr:rowOff>
    </xdr:from>
    <xdr:to>
      <xdr:col>5</xdr:col>
      <xdr:colOff>20002</xdr:colOff>
      <xdr:row>1</xdr:row>
      <xdr:rowOff>170739</xdr:rowOff>
    </xdr:to>
    <xdr:pic>
      <xdr:nvPicPr>
        <xdr:cNvPr id="4" name="Picture 3">
          <a:extLst>
            <a:ext uri="{FF2B5EF4-FFF2-40B4-BE49-F238E27FC236}">
              <a16:creationId xmlns:a16="http://schemas.microsoft.com/office/drawing/2014/main" id="{00000000-0008-0000-0400-000004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15637329" y="114828"/>
          <a:ext cx="20002" cy="262739"/>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oneCellAnchor>
    <xdr:from>
      <xdr:col>5</xdr:col>
      <xdr:colOff>666033</xdr:colOff>
      <xdr:row>0</xdr:row>
      <xdr:rowOff>114828</xdr:rowOff>
    </xdr:from>
    <xdr:ext cx="3810" cy="291178"/>
    <xdr:pic>
      <xdr:nvPicPr>
        <xdr:cNvPr id="5" name="Picture 4">
          <a:extLst>
            <a:ext uri="{FF2B5EF4-FFF2-40B4-BE49-F238E27FC236}">
              <a16:creationId xmlns:a16="http://schemas.microsoft.com/office/drawing/2014/main" id="{00000000-0008-0000-0400-000005000000}"/>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a:stretch>
          <a:fillRect/>
        </a:stretch>
      </xdr:blipFill>
      <xdr:spPr bwMode="auto">
        <a:xfrm>
          <a:off x="16303362" y="114828"/>
          <a:ext cx="3810" cy="29117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5</xdr:col>
      <xdr:colOff>666033</xdr:colOff>
      <xdr:row>0</xdr:row>
      <xdr:rowOff>114828</xdr:rowOff>
    </xdr:from>
    <xdr:ext cx="3810" cy="291178"/>
    <xdr:pic>
      <xdr:nvPicPr>
        <xdr:cNvPr id="6" name="Picture 5">
          <a:extLst>
            <a:ext uri="{FF2B5EF4-FFF2-40B4-BE49-F238E27FC236}">
              <a16:creationId xmlns:a16="http://schemas.microsoft.com/office/drawing/2014/main" id="{00000000-0008-0000-0400-000006000000}"/>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a:stretch>
          <a:fillRect/>
        </a:stretch>
      </xdr:blipFill>
      <xdr:spPr bwMode="auto">
        <a:xfrm>
          <a:off x="16303362" y="114828"/>
          <a:ext cx="3810" cy="29117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5</xdr:col>
      <xdr:colOff>666033</xdr:colOff>
      <xdr:row>0</xdr:row>
      <xdr:rowOff>114828</xdr:rowOff>
    </xdr:from>
    <xdr:ext cx="3810" cy="291178"/>
    <xdr:pic>
      <xdr:nvPicPr>
        <xdr:cNvPr id="7" name="Picture 6">
          <a:extLst>
            <a:ext uri="{FF2B5EF4-FFF2-40B4-BE49-F238E27FC236}">
              <a16:creationId xmlns:a16="http://schemas.microsoft.com/office/drawing/2014/main" id="{00000000-0008-0000-0400-000007000000}"/>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a:stretch>
          <a:fillRect/>
        </a:stretch>
      </xdr:blipFill>
      <xdr:spPr bwMode="auto">
        <a:xfrm>
          <a:off x="16303362" y="114828"/>
          <a:ext cx="3810" cy="29117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twoCellAnchor editAs="oneCell">
    <xdr:from>
      <xdr:col>5</xdr:col>
      <xdr:colOff>0</xdr:colOff>
      <xdr:row>0</xdr:row>
      <xdr:rowOff>114828</xdr:rowOff>
    </xdr:from>
    <xdr:to>
      <xdr:col>5</xdr:col>
      <xdr:colOff>20002</xdr:colOff>
      <xdr:row>1</xdr:row>
      <xdr:rowOff>181624</xdr:rowOff>
    </xdr:to>
    <xdr:pic>
      <xdr:nvPicPr>
        <xdr:cNvPr id="8" name="Picture 7">
          <a:extLst>
            <a:ext uri="{FF2B5EF4-FFF2-40B4-BE49-F238E27FC236}">
              <a16:creationId xmlns:a16="http://schemas.microsoft.com/office/drawing/2014/main" id="{00000000-0008-0000-0400-000008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15637329" y="114828"/>
          <a:ext cx="20002" cy="262739"/>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5</xdr:col>
      <xdr:colOff>0</xdr:colOff>
      <xdr:row>0</xdr:row>
      <xdr:rowOff>114828</xdr:rowOff>
    </xdr:from>
    <xdr:to>
      <xdr:col>5</xdr:col>
      <xdr:colOff>20002</xdr:colOff>
      <xdr:row>1</xdr:row>
      <xdr:rowOff>181624</xdr:rowOff>
    </xdr:to>
    <xdr:pic>
      <xdr:nvPicPr>
        <xdr:cNvPr id="9" name="Picture 8">
          <a:extLst>
            <a:ext uri="{FF2B5EF4-FFF2-40B4-BE49-F238E27FC236}">
              <a16:creationId xmlns:a16="http://schemas.microsoft.com/office/drawing/2014/main" id="{00000000-0008-0000-0400-000009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15637329" y="114828"/>
          <a:ext cx="20002" cy="262739"/>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5</xdr:col>
      <xdr:colOff>0</xdr:colOff>
      <xdr:row>0</xdr:row>
      <xdr:rowOff>114828</xdr:rowOff>
    </xdr:from>
    <xdr:to>
      <xdr:col>5</xdr:col>
      <xdr:colOff>20002</xdr:colOff>
      <xdr:row>1</xdr:row>
      <xdr:rowOff>181624</xdr:rowOff>
    </xdr:to>
    <xdr:pic>
      <xdr:nvPicPr>
        <xdr:cNvPr id="10" name="Picture 9">
          <a:extLst>
            <a:ext uri="{FF2B5EF4-FFF2-40B4-BE49-F238E27FC236}">
              <a16:creationId xmlns:a16="http://schemas.microsoft.com/office/drawing/2014/main" id="{00000000-0008-0000-0400-00000A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15637329" y="114828"/>
          <a:ext cx="20002" cy="262739"/>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oneCellAnchor>
    <xdr:from>
      <xdr:col>5</xdr:col>
      <xdr:colOff>666033</xdr:colOff>
      <xdr:row>0</xdr:row>
      <xdr:rowOff>114828</xdr:rowOff>
    </xdr:from>
    <xdr:ext cx="3810" cy="291178"/>
    <xdr:pic>
      <xdr:nvPicPr>
        <xdr:cNvPr id="11" name="Picture 10">
          <a:extLst>
            <a:ext uri="{FF2B5EF4-FFF2-40B4-BE49-F238E27FC236}">
              <a16:creationId xmlns:a16="http://schemas.microsoft.com/office/drawing/2014/main" id="{00000000-0008-0000-0400-00000B000000}"/>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a:stretch>
          <a:fillRect/>
        </a:stretch>
      </xdr:blipFill>
      <xdr:spPr bwMode="auto">
        <a:xfrm>
          <a:off x="16303362" y="114828"/>
          <a:ext cx="3810" cy="29117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5</xdr:col>
      <xdr:colOff>666033</xdr:colOff>
      <xdr:row>0</xdr:row>
      <xdr:rowOff>114828</xdr:rowOff>
    </xdr:from>
    <xdr:ext cx="3810" cy="291178"/>
    <xdr:pic>
      <xdr:nvPicPr>
        <xdr:cNvPr id="12" name="Picture 11">
          <a:extLst>
            <a:ext uri="{FF2B5EF4-FFF2-40B4-BE49-F238E27FC236}">
              <a16:creationId xmlns:a16="http://schemas.microsoft.com/office/drawing/2014/main" id="{00000000-0008-0000-0400-00000C000000}"/>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a:stretch>
          <a:fillRect/>
        </a:stretch>
      </xdr:blipFill>
      <xdr:spPr bwMode="auto">
        <a:xfrm>
          <a:off x="16303362" y="114828"/>
          <a:ext cx="3810" cy="29117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5</xdr:col>
      <xdr:colOff>666033</xdr:colOff>
      <xdr:row>0</xdr:row>
      <xdr:rowOff>114828</xdr:rowOff>
    </xdr:from>
    <xdr:ext cx="3810" cy="291178"/>
    <xdr:pic>
      <xdr:nvPicPr>
        <xdr:cNvPr id="13" name="Picture 12">
          <a:extLst>
            <a:ext uri="{FF2B5EF4-FFF2-40B4-BE49-F238E27FC236}">
              <a16:creationId xmlns:a16="http://schemas.microsoft.com/office/drawing/2014/main" id="{00000000-0008-0000-0400-00000D000000}"/>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a:stretch>
          <a:fillRect/>
        </a:stretch>
      </xdr:blipFill>
      <xdr:spPr bwMode="auto">
        <a:xfrm>
          <a:off x="16303362" y="114828"/>
          <a:ext cx="3810" cy="29117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wsDr>
</file>

<file path=xl/drawings/drawing3.xml><?xml version="1.0" encoding="utf-8"?>
<xdr:wsDr xmlns:xdr="http://schemas.openxmlformats.org/drawingml/2006/spreadsheetDrawing" xmlns:a="http://schemas.openxmlformats.org/drawingml/2006/main">
  <xdr:twoCellAnchor editAs="oneCell">
    <xdr:from>
      <xdr:col>5</xdr:col>
      <xdr:colOff>0</xdr:colOff>
      <xdr:row>0</xdr:row>
      <xdr:rowOff>114828</xdr:rowOff>
    </xdr:from>
    <xdr:to>
      <xdr:col>5</xdr:col>
      <xdr:colOff>20002</xdr:colOff>
      <xdr:row>1</xdr:row>
      <xdr:rowOff>170739</xdr:rowOff>
    </xdr:to>
    <xdr:pic>
      <xdr:nvPicPr>
        <xdr:cNvPr id="2" name="Picture 1">
          <a:extLst>
            <a:ext uri="{FF2B5EF4-FFF2-40B4-BE49-F238E27FC236}">
              <a16:creationId xmlns:a16="http://schemas.microsoft.com/office/drawing/2014/main" id="{00000000-0008-0000-0500-000002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15637329" y="114828"/>
          <a:ext cx="20002" cy="262739"/>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5</xdr:col>
      <xdr:colOff>0</xdr:colOff>
      <xdr:row>0</xdr:row>
      <xdr:rowOff>114828</xdr:rowOff>
    </xdr:from>
    <xdr:to>
      <xdr:col>5</xdr:col>
      <xdr:colOff>20002</xdr:colOff>
      <xdr:row>1</xdr:row>
      <xdr:rowOff>170739</xdr:rowOff>
    </xdr:to>
    <xdr:pic>
      <xdr:nvPicPr>
        <xdr:cNvPr id="3" name="Picture 2">
          <a:extLst>
            <a:ext uri="{FF2B5EF4-FFF2-40B4-BE49-F238E27FC236}">
              <a16:creationId xmlns:a16="http://schemas.microsoft.com/office/drawing/2014/main" id="{00000000-0008-0000-0500-000003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15637329" y="114828"/>
          <a:ext cx="20002" cy="262739"/>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5</xdr:col>
      <xdr:colOff>0</xdr:colOff>
      <xdr:row>0</xdr:row>
      <xdr:rowOff>114828</xdr:rowOff>
    </xdr:from>
    <xdr:to>
      <xdr:col>5</xdr:col>
      <xdr:colOff>20002</xdr:colOff>
      <xdr:row>1</xdr:row>
      <xdr:rowOff>170739</xdr:rowOff>
    </xdr:to>
    <xdr:pic>
      <xdr:nvPicPr>
        <xdr:cNvPr id="4" name="Picture 3">
          <a:extLst>
            <a:ext uri="{FF2B5EF4-FFF2-40B4-BE49-F238E27FC236}">
              <a16:creationId xmlns:a16="http://schemas.microsoft.com/office/drawing/2014/main" id="{00000000-0008-0000-0500-000004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15637329" y="114828"/>
          <a:ext cx="20002" cy="262739"/>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oneCellAnchor>
    <xdr:from>
      <xdr:col>5</xdr:col>
      <xdr:colOff>666033</xdr:colOff>
      <xdr:row>0</xdr:row>
      <xdr:rowOff>114828</xdr:rowOff>
    </xdr:from>
    <xdr:ext cx="3810" cy="291178"/>
    <xdr:pic>
      <xdr:nvPicPr>
        <xdr:cNvPr id="5" name="Picture 4">
          <a:extLst>
            <a:ext uri="{FF2B5EF4-FFF2-40B4-BE49-F238E27FC236}">
              <a16:creationId xmlns:a16="http://schemas.microsoft.com/office/drawing/2014/main" id="{00000000-0008-0000-0500-000005000000}"/>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a:stretch>
          <a:fillRect/>
        </a:stretch>
      </xdr:blipFill>
      <xdr:spPr bwMode="auto">
        <a:xfrm>
          <a:off x="16303362" y="114828"/>
          <a:ext cx="3810" cy="29117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5</xdr:col>
      <xdr:colOff>666033</xdr:colOff>
      <xdr:row>0</xdr:row>
      <xdr:rowOff>114828</xdr:rowOff>
    </xdr:from>
    <xdr:ext cx="3810" cy="291178"/>
    <xdr:pic>
      <xdr:nvPicPr>
        <xdr:cNvPr id="6" name="Picture 5">
          <a:extLst>
            <a:ext uri="{FF2B5EF4-FFF2-40B4-BE49-F238E27FC236}">
              <a16:creationId xmlns:a16="http://schemas.microsoft.com/office/drawing/2014/main" id="{00000000-0008-0000-0500-000006000000}"/>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a:stretch>
          <a:fillRect/>
        </a:stretch>
      </xdr:blipFill>
      <xdr:spPr bwMode="auto">
        <a:xfrm>
          <a:off x="16303362" y="114828"/>
          <a:ext cx="3810" cy="29117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5</xdr:col>
      <xdr:colOff>666033</xdr:colOff>
      <xdr:row>0</xdr:row>
      <xdr:rowOff>114828</xdr:rowOff>
    </xdr:from>
    <xdr:ext cx="3810" cy="291178"/>
    <xdr:pic>
      <xdr:nvPicPr>
        <xdr:cNvPr id="7" name="Picture 6">
          <a:extLst>
            <a:ext uri="{FF2B5EF4-FFF2-40B4-BE49-F238E27FC236}">
              <a16:creationId xmlns:a16="http://schemas.microsoft.com/office/drawing/2014/main" id="{00000000-0008-0000-0500-000007000000}"/>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a:stretch>
          <a:fillRect/>
        </a:stretch>
      </xdr:blipFill>
      <xdr:spPr bwMode="auto">
        <a:xfrm>
          <a:off x="16303362" y="114828"/>
          <a:ext cx="3810" cy="29117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twoCellAnchor editAs="oneCell">
    <xdr:from>
      <xdr:col>5</xdr:col>
      <xdr:colOff>0</xdr:colOff>
      <xdr:row>0</xdr:row>
      <xdr:rowOff>114828</xdr:rowOff>
    </xdr:from>
    <xdr:to>
      <xdr:col>5</xdr:col>
      <xdr:colOff>20002</xdr:colOff>
      <xdr:row>1</xdr:row>
      <xdr:rowOff>181624</xdr:rowOff>
    </xdr:to>
    <xdr:pic>
      <xdr:nvPicPr>
        <xdr:cNvPr id="8" name="Picture 7">
          <a:extLst>
            <a:ext uri="{FF2B5EF4-FFF2-40B4-BE49-F238E27FC236}">
              <a16:creationId xmlns:a16="http://schemas.microsoft.com/office/drawing/2014/main" id="{00000000-0008-0000-0500-000008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15637329" y="114828"/>
          <a:ext cx="20002" cy="262739"/>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5</xdr:col>
      <xdr:colOff>0</xdr:colOff>
      <xdr:row>0</xdr:row>
      <xdr:rowOff>114828</xdr:rowOff>
    </xdr:from>
    <xdr:to>
      <xdr:col>5</xdr:col>
      <xdr:colOff>20002</xdr:colOff>
      <xdr:row>1</xdr:row>
      <xdr:rowOff>181624</xdr:rowOff>
    </xdr:to>
    <xdr:pic>
      <xdr:nvPicPr>
        <xdr:cNvPr id="9" name="Picture 8">
          <a:extLst>
            <a:ext uri="{FF2B5EF4-FFF2-40B4-BE49-F238E27FC236}">
              <a16:creationId xmlns:a16="http://schemas.microsoft.com/office/drawing/2014/main" id="{00000000-0008-0000-0500-000009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15637329" y="114828"/>
          <a:ext cx="20002" cy="262739"/>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5</xdr:col>
      <xdr:colOff>0</xdr:colOff>
      <xdr:row>0</xdr:row>
      <xdr:rowOff>114828</xdr:rowOff>
    </xdr:from>
    <xdr:to>
      <xdr:col>5</xdr:col>
      <xdr:colOff>20002</xdr:colOff>
      <xdr:row>1</xdr:row>
      <xdr:rowOff>181624</xdr:rowOff>
    </xdr:to>
    <xdr:pic>
      <xdr:nvPicPr>
        <xdr:cNvPr id="10" name="Picture 9">
          <a:extLst>
            <a:ext uri="{FF2B5EF4-FFF2-40B4-BE49-F238E27FC236}">
              <a16:creationId xmlns:a16="http://schemas.microsoft.com/office/drawing/2014/main" id="{00000000-0008-0000-0500-00000A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15637329" y="114828"/>
          <a:ext cx="20002" cy="262739"/>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oneCellAnchor>
    <xdr:from>
      <xdr:col>5</xdr:col>
      <xdr:colOff>666033</xdr:colOff>
      <xdr:row>0</xdr:row>
      <xdr:rowOff>114828</xdr:rowOff>
    </xdr:from>
    <xdr:ext cx="3810" cy="291178"/>
    <xdr:pic>
      <xdr:nvPicPr>
        <xdr:cNvPr id="11" name="Picture 10">
          <a:extLst>
            <a:ext uri="{FF2B5EF4-FFF2-40B4-BE49-F238E27FC236}">
              <a16:creationId xmlns:a16="http://schemas.microsoft.com/office/drawing/2014/main" id="{00000000-0008-0000-0500-00000B000000}"/>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a:stretch>
          <a:fillRect/>
        </a:stretch>
      </xdr:blipFill>
      <xdr:spPr bwMode="auto">
        <a:xfrm>
          <a:off x="16303362" y="114828"/>
          <a:ext cx="3810" cy="29117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5</xdr:col>
      <xdr:colOff>666033</xdr:colOff>
      <xdr:row>0</xdr:row>
      <xdr:rowOff>114828</xdr:rowOff>
    </xdr:from>
    <xdr:ext cx="3810" cy="291178"/>
    <xdr:pic>
      <xdr:nvPicPr>
        <xdr:cNvPr id="12" name="Picture 11">
          <a:extLst>
            <a:ext uri="{FF2B5EF4-FFF2-40B4-BE49-F238E27FC236}">
              <a16:creationId xmlns:a16="http://schemas.microsoft.com/office/drawing/2014/main" id="{00000000-0008-0000-0500-00000C000000}"/>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a:stretch>
          <a:fillRect/>
        </a:stretch>
      </xdr:blipFill>
      <xdr:spPr bwMode="auto">
        <a:xfrm>
          <a:off x="16303362" y="114828"/>
          <a:ext cx="3810" cy="29117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5</xdr:col>
      <xdr:colOff>666033</xdr:colOff>
      <xdr:row>0</xdr:row>
      <xdr:rowOff>114828</xdr:rowOff>
    </xdr:from>
    <xdr:ext cx="3810" cy="291178"/>
    <xdr:pic>
      <xdr:nvPicPr>
        <xdr:cNvPr id="13" name="Picture 12">
          <a:extLst>
            <a:ext uri="{FF2B5EF4-FFF2-40B4-BE49-F238E27FC236}">
              <a16:creationId xmlns:a16="http://schemas.microsoft.com/office/drawing/2014/main" id="{00000000-0008-0000-0500-00000D000000}"/>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a:stretch>
          <a:fillRect/>
        </a:stretch>
      </xdr:blipFill>
      <xdr:spPr bwMode="auto">
        <a:xfrm>
          <a:off x="16303362" y="114828"/>
          <a:ext cx="3810" cy="29117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wsDr>
</file>

<file path=xl/drawings/drawing4.xml><?xml version="1.0" encoding="utf-8"?>
<xdr:wsDr xmlns:xdr="http://schemas.openxmlformats.org/drawingml/2006/spreadsheetDrawing" xmlns:a="http://schemas.openxmlformats.org/drawingml/2006/main">
  <xdr:twoCellAnchor editAs="oneCell">
    <xdr:from>
      <xdr:col>5</xdr:col>
      <xdr:colOff>0</xdr:colOff>
      <xdr:row>0</xdr:row>
      <xdr:rowOff>114828</xdr:rowOff>
    </xdr:from>
    <xdr:to>
      <xdr:col>5</xdr:col>
      <xdr:colOff>20002</xdr:colOff>
      <xdr:row>1</xdr:row>
      <xdr:rowOff>170739</xdr:rowOff>
    </xdr:to>
    <xdr:pic>
      <xdr:nvPicPr>
        <xdr:cNvPr id="2" name="Picture 1">
          <a:extLst>
            <a:ext uri="{FF2B5EF4-FFF2-40B4-BE49-F238E27FC236}">
              <a16:creationId xmlns:a16="http://schemas.microsoft.com/office/drawing/2014/main" id="{00000000-0008-0000-0600-000002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15637329" y="114828"/>
          <a:ext cx="20002" cy="262739"/>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5</xdr:col>
      <xdr:colOff>0</xdr:colOff>
      <xdr:row>0</xdr:row>
      <xdr:rowOff>114828</xdr:rowOff>
    </xdr:from>
    <xdr:to>
      <xdr:col>5</xdr:col>
      <xdr:colOff>20002</xdr:colOff>
      <xdr:row>1</xdr:row>
      <xdr:rowOff>170739</xdr:rowOff>
    </xdr:to>
    <xdr:pic>
      <xdr:nvPicPr>
        <xdr:cNvPr id="3" name="Picture 2">
          <a:extLst>
            <a:ext uri="{FF2B5EF4-FFF2-40B4-BE49-F238E27FC236}">
              <a16:creationId xmlns:a16="http://schemas.microsoft.com/office/drawing/2014/main" id="{00000000-0008-0000-0600-000003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15637329" y="114828"/>
          <a:ext cx="20002" cy="262739"/>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5</xdr:col>
      <xdr:colOff>0</xdr:colOff>
      <xdr:row>0</xdr:row>
      <xdr:rowOff>114828</xdr:rowOff>
    </xdr:from>
    <xdr:to>
      <xdr:col>5</xdr:col>
      <xdr:colOff>20002</xdr:colOff>
      <xdr:row>1</xdr:row>
      <xdr:rowOff>170739</xdr:rowOff>
    </xdr:to>
    <xdr:pic>
      <xdr:nvPicPr>
        <xdr:cNvPr id="4" name="Picture 3">
          <a:extLst>
            <a:ext uri="{FF2B5EF4-FFF2-40B4-BE49-F238E27FC236}">
              <a16:creationId xmlns:a16="http://schemas.microsoft.com/office/drawing/2014/main" id="{00000000-0008-0000-0600-000004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15637329" y="114828"/>
          <a:ext cx="20002" cy="262739"/>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oneCellAnchor>
    <xdr:from>
      <xdr:col>5</xdr:col>
      <xdr:colOff>666033</xdr:colOff>
      <xdr:row>0</xdr:row>
      <xdr:rowOff>114828</xdr:rowOff>
    </xdr:from>
    <xdr:ext cx="3810" cy="291178"/>
    <xdr:pic>
      <xdr:nvPicPr>
        <xdr:cNvPr id="5" name="Picture 4">
          <a:extLst>
            <a:ext uri="{FF2B5EF4-FFF2-40B4-BE49-F238E27FC236}">
              <a16:creationId xmlns:a16="http://schemas.microsoft.com/office/drawing/2014/main" id="{00000000-0008-0000-0600-000005000000}"/>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a:stretch>
          <a:fillRect/>
        </a:stretch>
      </xdr:blipFill>
      <xdr:spPr bwMode="auto">
        <a:xfrm>
          <a:off x="16303362" y="114828"/>
          <a:ext cx="3810" cy="29117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5</xdr:col>
      <xdr:colOff>666033</xdr:colOff>
      <xdr:row>0</xdr:row>
      <xdr:rowOff>114828</xdr:rowOff>
    </xdr:from>
    <xdr:ext cx="3810" cy="291178"/>
    <xdr:pic>
      <xdr:nvPicPr>
        <xdr:cNvPr id="6" name="Picture 5">
          <a:extLst>
            <a:ext uri="{FF2B5EF4-FFF2-40B4-BE49-F238E27FC236}">
              <a16:creationId xmlns:a16="http://schemas.microsoft.com/office/drawing/2014/main" id="{00000000-0008-0000-0600-000006000000}"/>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a:stretch>
          <a:fillRect/>
        </a:stretch>
      </xdr:blipFill>
      <xdr:spPr bwMode="auto">
        <a:xfrm>
          <a:off x="16303362" y="114828"/>
          <a:ext cx="3810" cy="29117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5</xdr:col>
      <xdr:colOff>666033</xdr:colOff>
      <xdr:row>0</xdr:row>
      <xdr:rowOff>114828</xdr:rowOff>
    </xdr:from>
    <xdr:ext cx="3810" cy="291178"/>
    <xdr:pic>
      <xdr:nvPicPr>
        <xdr:cNvPr id="7" name="Picture 6">
          <a:extLst>
            <a:ext uri="{FF2B5EF4-FFF2-40B4-BE49-F238E27FC236}">
              <a16:creationId xmlns:a16="http://schemas.microsoft.com/office/drawing/2014/main" id="{00000000-0008-0000-0600-000007000000}"/>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a:stretch>
          <a:fillRect/>
        </a:stretch>
      </xdr:blipFill>
      <xdr:spPr bwMode="auto">
        <a:xfrm>
          <a:off x="16303362" y="114828"/>
          <a:ext cx="3810" cy="29117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twoCellAnchor editAs="oneCell">
    <xdr:from>
      <xdr:col>5</xdr:col>
      <xdr:colOff>0</xdr:colOff>
      <xdr:row>0</xdr:row>
      <xdr:rowOff>114828</xdr:rowOff>
    </xdr:from>
    <xdr:to>
      <xdr:col>5</xdr:col>
      <xdr:colOff>20002</xdr:colOff>
      <xdr:row>1</xdr:row>
      <xdr:rowOff>181624</xdr:rowOff>
    </xdr:to>
    <xdr:pic>
      <xdr:nvPicPr>
        <xdr:cNvPr id="8" name="Picture 7">
          <a:extLst>
            <a:ext uri="{FF2B5EF4-FFF2-40B4-BE49-F238E27FC236}">
              <a16:creationId xmlns:a16="http://schemas.microsoft.com/office/drawing/2014/main" id="{00000000-0008-0000-0600-000008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15637329" y="114828"/>
          <a:ext cx="20002" cy="262739"/>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5</xdr:col>
      <xdr:colOff>0</xdr:colOff>
      <xdr:row>0</xdr:row>
      <xdr:rowOff>114828</xdr:rowOff>
    </xdr:from>
    <xdr:to>
      <xdr:col>5</xdr:col>
      <xdr:colOff>20002</xdr:colOff>
      <xdr:row>1</xdr:row>
      <xdr:rowOff>181624</xdr:rowOff>
    </xdr:to>
    <xdr:pic>
      <xdr:nvPicPr>
        <xdr:cNvPr id="9" name="Picture 8">
          <a:extLst>
            <a:ext uri="{FF2B5EF4-FFF2-40B4-BE49-F238E27FC236}">
              <a16:creationId xmlns:a16="http://schemas.microsoft.com/office/drawing/2014/main" id="{00000000-0008-0000-0600-000009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15637329" y="114828"/>
          <a:ext cx="20002" cy="262739"/>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5</xdr:col>
      <xdr:colOff>0</xdr:colOff>
      <xdr:row>0</xdr:row>
      <xdr:rowOff>114828</xdr:rowOff>
    </xdr:from>
    <xdr:to>
      <xdr:col>5</xdr:col>
      <xdr:colOff>20002</xdr:colOff>
      <xdr:row>1</xdr:row>
      <xdr:rowOff>181624</xdr:rowOff>
    </xdr:to>
    <xdr:pic>
      <xdr:nvPicPr>
        <xdr:cNvPr id="10" name="Picture 9">
          <a:extLst>
            <a:ext uri="{FF2B5EF4-FFF2-40B4-BE49-F238E27FC236}">
              <a16:creationId xmlns:a16="http://schemas.microsoft.com/office/drawing/2014/main" id="{00000000-0008-0000-0600-00000A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15637329" y="114828"/>
          <a:ext cx="20002" cy="262739"/>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oneCellAnchor>
    <xdr:from>
      <xdr:col>5</xdr:col>
      <xdr:colOff>666033</xdr:colOff>
      <xdr:row>0</xdr:row>
      <xdr:rowOff>114828</xdr:rowOff>
    </xdr:from>
    <xdr:ext cx="3810" cy="291178"/>
    <xdr:pic>
      <xdr:nvPicPr>
        <xdr:cNvPr id="11" name="Picture 10">
          <a:extLst>
            <a:ext uri="{FF2B5EF4-FFF2-40B4-BE49-F238E27FC236}">
              <a16:creationId xmlns:a16="http://schemas.microsoft.com/office/drawing/2014/main" id="{00000000-0008-0000-0600-00000B000000}"/>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a:stretch>
          <a:fillRect/>
        </a:stretch>
      </xdr:blipFill>
      <xdr:spPr bwMode="auto">
        <a:xfrm>
          <a:off x="16303362" y="114828"/>
          <a:ext cx="3810" cy="29117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5</xdr:col>
      <xdr:colOff>666033</xdr:colOff>
      <xdr:row>0</xdr:row>
      <xdr:rowOff>114828</xdr:rowOff>
    </xdr:from>
    <xdr:ext cx="3810" cy="291178"/>
    <xdr:pic>
      <xdr:nvPicPr>
        <xdr:cNvPr id="12" name="Picture 11">
          <a:extLst>
            <a:ext uri="{FF2B5EF4-FFF2-40B4-BE49-F238E27FC236}">
              <a16:creationId xmlns:a16="http://schemas.microsoft.com/office/drawing/2014/main" id="{00000000-0008-0000-0600-00000C000000}"/>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a:stretch>
          <a:fillRect/>
        </a:stretch>
      </xdr:blipFill>
      <xdr:spPr bwMode="auto">
        <a:xfrm>
          <a:off x="16303362" y="114828"/>
          <a:ext cx="3810" cy="29117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5</xdr:col>
      <xdr:colOff>666033</xdr:colOff>
      <xdr:row>0</xdr:row>
      <xdr:rowOff>114828</xdr:rowOff>
    </xdr:from>
    <xdr:ext cx="3810" cy="291178"/>
    <xdr:pic>
      <xdr:nvPicPr>
        <xdr:cNvPr id="13" name="Picture 12">
          <a:extLst>
            <a:ext uri="{FF2B5EF4-FFF2-40B4-BE49-F238E27FC236}">
              <a16:creationId xmlns:a16="http://schemas.microsoft.com/office/drawing/2014/main" id="{00000000-0008-0000-0600-00000D000000}"/>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a:stretch>
          <a:fillRect/>
        </a:stretch>
      </xdr:blipFill>
      <xdr:spPr bwMode="auto">
        <a:xfrm>
          <a:off x="16303362" y="114828"/>
          <a:ext cx="3810" cy="29117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5.xml"/><Relationship Id="rId3" Type="http://schemas.openxmlformats.org/officeDocument/2006/relationships/vmlDrawing" Target="../drawings/vmlDrawing1.vml"/><Relationship Id="rId7" Type="http://schemas.openxmlformats.org/officeDocument/2006/relationships/ctrlProp" Target="../ctrlProps/ctrlProp4.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 Id="rId9" Type="http://schemas.openxmlformats.org/officeDocument/2006/relationships/ctrlProp" Target="../ctrlProps/ctrlProp6.xml"/></Relationships>
</file>

<file path=xl/worksheets/_rels/sheet5.xml.rels><?xml version="1.0" encoding="UTF-8" standalone="yes"?>
<Relationships xmlns="http://schemas.openxmlformats.org/package/2006/relationships"><Relationship Id="rId1" Type="http://schemas.openxmlformats.org/officeDocument/2006/relationships/drawing" Target="../drawings/drawing2.xml"/></Relationships>
</file>

<file path=xl/worksheets/_rels/sheet6.xml.rels><?xml version="1.0" encoding="UTF-8" standalone="yes"?>
<Relationships xmlns="http://schemas.openxmlformats.org/package/2006/relationships"><Relationship Id="rId1" Type="http://schemas.openxmlformats.org/officeDocument/2006/relationships/drawing" Target="../drawings/drawing3.xml"/></Relationships>
</file>

<file path=xl/worksheets/_rels/sheet7.xml.rels><?xml version="1.0" encoding="UTF-8" standalone="yes"?>
<Relationships xmlns="http://schemas.openxmlformats.org/package/2006/relationships"><Relationship Id="rId1" Type="http://schemas.openxmlformats.org/officeDocument/2006/relationships/drawing" Target="../drawings/drawing4.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6A15B6A-C57A-4817-9D03-3C2C80A1348E}">
  <sheetPr codeName="Sheet1"/>
  <dimension ref="B3:R5"/>
  <sheetViews>
    <sheetView zoomScale="130" zoomScaleNormal="130" workbookViewId="0">
      <selection activeCell="I11" sqref="I11"/>
    </sheetView>
  </sheetViews>
  <sheetFormatPr defaultRowHeight="14.6" x14ac:dyDescent="0.4"/>
  <sheetData>
    <row r="3" spans="2:18" x14ac:dyDescent="0.4">
      <c r="B3" t="s">
        <v>122</v>
      </c>
    </row>
    <row r="5" spans="2:18" x14ac:dyDescent="0.4">
      <c r="R5" s="189">
        <v>3</v>
      </c>
    </row>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25" r:id="rId4" name="Option Button 1">
              <controlPr defaultSize="0" autoFill="0" autoLine="0" autoPict="0" macro="[0]!OptionButton1_Click">
                <anchor moveWithCells="1">
                  <from>
                    <xdr:col>1</xdr:col>
                    <xdr:colOff>21771</xdr:colOff>
                    <xdr:row>4</xdr:row>
                    <xdr:rowOff>16329</xdr:rowOff>
                  </from>
                  <to>
                    <xdr:col>3</xdr:col>
                    <xdr:colOff>386443</xdr:colOff>
                    <xdr:row>5</xdr:row>
                    <xdr:rowOff>163286</xdr:rowOff>
                  </to>
                </anchor>
              </controlPr>
            </control>
          </mc:Choice>
        </mc:AlternateContent>
        <mc:AlternateContent xmlns:mc="http://schemas.openxmlformats.org/markup-compatibility/2006">
          <mc:Choice Requires="x14">
            <control shapeId="1026" r:id="rId5" name="Option Button 2">
              <controlPr defaultSize="0" autoFill="0" autoLine="0" autoPict="0" macro="[0]!OptionButton2_Click">
                <anchor moveWithCells="1">
                  <from>
                    <xdr:col>1</xdr:col>
                    <xdr:colOff>16329</xdr:colOff>
                    <xdr:row>6</xdr:row>
                    <xdr:rowOff>21771</xdr:rowOff>
                  </from>
                  <to>
                    <xdr:col>3</xdr:col>
                    <xdr:colOff>517071</xdr:colOff>
                    <xdr:row>7</xdr:row>
                    <xdr:rowOff>168729</xdr:rowOff>
                  </to>
                </anchor>
              </controlPr>
            </control>
          </mc:Choice>
        </mc:AlternateContent>
        <mc:AlternateContent xmlns:mc="http://schemas.openxmlformats.org/markup-compatibility/2006">
          <mc:Choice Requires="x14">
            <control shapeId="1027" r:id="rId6" name="Option Button 3">
              <controlPr defaultSize="0" autoFill="0" autoLine="0" autoPict="0" macro="[0]!OptionButton3_Click">
                <anchor moveWithCells="1">
                  <from>
                    <xdr:col>1</xdr:col>
                    <xdr:colOff>16329</xdr:colOff>
                    <xdr:row>8</xdr:row>
                    <xdr:rowOff>16329</xdr:rowOff>
                  </from>
                  <to>
                    <xdr:col>2</xdr:col>
                    <xdr:colOff>647700</xdr:colOff>
                    <xdr:row>9</xdr:row>
                    <xdr:rowOff>163286</xdr:rowOff>
                  </to>
                </anchor>
              </controlPr>
            </control>
          </mc:Choice>
        </mc:AlternateContent>
        <mc:AlternateContent xmlns:mc="http://schemas.openxmlformats.org/markup-compatibility/2006">
          <mc:Choice Requires="x14">
            <control shapeId="1028" r:id="rId7" name="Option Button 4">
              <controlPr defaultSize="0" autoFill="0" autoLine="0" autoPict="0" macro="[0]!OptionButton4_Click">
                <anchor moveWithCells="1">
                  <from>
                    <xdr:col>1</xdr:col>
                    <xdr:colOff>10886</xdr:colOff>
                    <xdr:row>10</xdr:row>
                    <xdr:rowOff>10886</xdr:rowOff>
                  </from>
                  <to>
                    <xdr:col>3</xdr:col>
                    <xdr:colOff>625929</xdr:colOff>
                    <xdr:row>11</xdr:row>
                    <xdr:rowOff>157843</xdr:rowOff>
                  </to>
                </anchor>
              </controlPr>
            </control>
          </mc:Choice>
        </mc:AlternateContent>
        <mc:AlternateContent xmlns:mc="http://schemas.openxmlformats.org/markup-compatibility/2006">
          <mc:Choice Requires="x14">
            <control shapeId="1029" r:id="rId8" name="Option Button 5">
              <controlPr defaultSize="0" autoFill="0" autoLine="0" autoPict="0" macro="[0]!OptionButton5_Click">
                <anchor moveWithCells="1">
                  <from>
                    <xdr:col>1</xdr:col>
                    <xdr:colOff>5443</xdr:colOff>
                    <xdr:row>12</xdr:row>
                    <xdr:rowOff>0</xdr:rowOff>
                  </from>
                  <to>
                    <xdr:col>3</xdr:col>
                    <xdr:colOff>620486</xdr:colOff>
                    <xdr:row>13</xdr:row>
                    <xdr:rowOff>146957</xdr:rowOff>
                  </to>
                </anchor>
              </controlPr>
            </control>
          </mc:Choice>
        </mc:AlternateContent>
        <mc:AlternateContent xmlns:mc="http://schemas.openxmlformats.org/markup-compatibility/2006">
          <mc:Choice Requires="x14">
            <control shapeId="1030" r:id="rId9" name="Option Button 6">
              <controlPr defaultSize="0" autoFill="0" autoLine="0" autoPict="0" macro="[0]!OptionButton6_Click">
                <anchor moveWithCells="1">
                  <from>
                    <xdr:col>1</xdr:col>
                    <xdr:colOff>16329</xdr:colOff>
                    <xdr:row>13</xdr:row>
                    <xdr:rowOff>185057</xdr:rowOff>
                  </from>
                  <to>
                    <xdr:col>3</xdr:col>
                    <xdr:colOff>604157</xdr:colOff>
                    <xdr:row>15</xdr:row>
                    <xdr:rowOff>146957</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2D0A2C4-1C73-496F-9105-91C22B3BD19E}">
  <sheetPr codeName="Sheet2"/>
  <dimension ref="A1:G40"/>
  <sheetViews>
    <sheetView workbookViewId="0">
      <selection activeCell="B1" sqref="B1"/>
    </sheetView>
  </sheetViews>
  <sheetFormatPr defaultColWidth="9.15234375" defaultRowHeight="14.15" x14ac:dyDescent="0.35"/>
  <cols>
    <col min="1" max="1" width="17" style="26" customWidth="1"/>
    <col min="2" max="2" width="76.69140625" style="6" customWidth="1"/>
    <col min="3" max="3" width="85.4609375" style="126" customWidth="1"/>
    <col min="4" max="4" width="13.15234375" style="33" customWidth="1"/>
    <col min="5" max="5" width="15.4609375" style="84" customWidth="1"/>
    <col min="6" max="6" width="84.69140625" style="126" customWidth="1"/>
    <col min="7" max="16384" width="9.15234375" style="26"/>
  </cols>
  <sheetData>
    <row r="1" spans="1:7" ht="15.45" x14ac:dyDescent="0.35">
      <c r="A1" s="155" t="s">
        <v>53</v>
      </c>
      <c r="B1" s="153"/>
      <c r="F1" s="11"/>
    </row>
    <row r="2" spans="1:7" ht="14.05" customHeight="1" x14ac:dyDescent="0.35">
      <c r="A2" s="155" t="s">
        <v>54</v>
      </c>
      <c r="B2" s="153"/>
      <c r="D2" s="85"/>
      <c r="F2" s="11"/>
    </row>
    <row r="3" spans="1:7" ht="15.45" x14ac:dyDescent="0.4">
      <c r="A3" s="154" t="s">
        <v>113</v>
      </c>
      <c r="B3" s="156" t="s">
        <v>117</v>
      </c>
      <c r="C3" s="86"/>
      <c r="F3" s="11"/>
    </row>
    <row r="4" spans="1:7" x14ac:dyDescent="0.3">
      <c r="B4" s="36"/>
      <c r="C4" s="86"/>
      <c r="D4" s="87"/>
      <c r="E4" s="88"/>
      <c r="F4" s="11"/>
    </row>
    <row r="5" spans="1:7" x14ac:dyDescent="0.35">
      <c r="B5" s="36"/>
      <c r="D5" s="192">
        <f>B1</f>
        <v>0</v>
      </c>
    </row>
    <row r="6" spans="1:7" x14ac:dyDescent="0.3">
      <c r="A6" s="40"/>
      <c r="B6" s="203" t="s">
        <v>5</v>
      </c>
      <c r="C6" s="205" t="s">
        <v>55</v>
      </c>
      <c r="D6" s="41" t="s">
        <v>56</v>
      </c>
      <c r="E6" s="89" t="s">
        <v>109</v>
      </c>
      <c r="F6" s="90" t="s">
        <v>57</v>
      </c>
    </row>
    <row r="7" spans="1:7" ht="14.6" thickBot="1" x14ac:dyDescent="0.35">
      <c r="A7" s="44"/>
      <c r="B7" s="204"/>
      <c r="C7" s="206"/>
      <c r="D7" s="45" t="s">
        <v>58</v>
      </c>
      <c r="E7" s="89"/>
      <c r="F7" s="90"/>
    </row>
    <row r="8" spans="1:7" ht="16.3" customHeight="1" thickBot="1" x14ac:dyDescent="0.35">
      <c r="A8" s="211" t="s">
        <v>9</v>
      </c>
      <c r="B8" s="91" t="s">
        <v>10</v>
      </c>
      <c r="C8" s="92"/>
      <c r="D8" s="70">
        <v>0.1</v>
      </c>
      <c r="E8" s="146"/>
      <c r="F8" s="202"/>
    </row>
    <row r="9" spans="1:7" ht="172.3" customHeight="1" thickBot="1" x14ac:dyDescent="0.35">
      <c r="A9" s="213"/>
      <c r="B9" s="49" t="s">
        <v>60</v>
      </c>
      <c r="C9" s="94" t="s">
        <v>59</v>
      </c>
      <c r="D9" s="122"/>
      <c r="E9" s="144"/>
      <c r="F9" s="197"/>
      <c r="G9" s="96"/>
    </row>
    <row r="10" spans="1:7" ht="14.25" customHeight="1" thickBot="1" x14ac:dyDescent="0.35">
      <c r="A10" s="211" t="s">
        <v>11</v>
      </c>
      <c r="B10" s="46" t="s">
        <v>42</v>
      </c>
      <c r="C10" s="194" t="s">
        <v>61</v>
      </c>
      <c r="D10" s="150"/>
      <c r="E10" s="97" t="s">
        <v>110</v>
      </c>
      <c r="F10" s="194" t="s">
        <v>62</v>
      </c>
      <c r="G10" s="96"/>
    </row>
    <row r="11" spans="1:7" ht="25.5" customHeight="1" thickBot="1" x14ac:dyDescent="0.35">
      <c r="A11" s="212"/>
      <c r="B11" s="126" t="s">
        <v>63</v>
      </c>
      <c r="C11" s="195"/>
      <c r="D11" s="122"/>
      <c r="E11" s="95"/>
      <c r="F11" s="195"/>
      <c r="G11" s="96"/>
    </row>
    <row r="12" spans="1:7" ht="15" customHeight="1" thickBot="1" x14ac:dyDescent="0.35">
      <c r="A12" s="212"/>
      <c r="B12" s="46" t="s">
        <v>65</v>
      </c>
      <c r="C12" s="98"/>
      <c r="D12" s="136"/>
      <c r="E12" s="93" t="s">
        <v>111</v>
      </c>
      <c r="F12" s="196"/>
      <c r="G12" s="96"/>
    </row>
    <row r="13" spans="1:7" ht="191.05" customHeight="1" thickBot="1" x14ac:dyDescent="0.35">
      <c r="A13" s="213"/>
      <c r="B13" s="49" t="s">
        <v>66</v>
      </c>
      <c r="C13" s="94" t="s">
        <v>59</v>
      </c>
      <c r="D13" s="122"/>
      <c r="E13" s="95"/>
      <c r="F13" s="197"/>
    </row>
    <row r="14" spans="1:7" ht="15" customHeight="1" thickBot="1" x14ac:dyDescent="0.35">
      <c r="A14" s="211" t="s">
        <v>21</v>
      </c>
      <c r="B14" s="46" t="s">
        <v>47</v>
      </c>
      <c r="C14" s="194" t="s">
        <v>67</v>
      </c>
      <c r="D14" s="136"/>
      <c r="E14" s="93" t="s">
        <v>112</v>
      </c>
      <c r="F14" s="194" t="s">
        <v>67</v>
      </c>
    </row>
    <row r="15" spans="1:7" ht="66.75" customHeight="1" thickBot="1" x14ac:dyDescent="0.35">
      <c r="A15" s="212"/>
      <c r="B15" s="215" t="s">
        <v>68</v>
      </c>
      <c r="C15" s="214"/>
      <c r="D15" s="121"/>
      <c r="E15" s="145"/>
      <c r="F15" s="200"/>
    </row>
    <row r="16" spans="1:7" ht="14.25" hidden="1" customHeight="1" thickBot="1" x14ac:dyDescent="0.35">
      <c r="A16" s="212"/>
      <c r="B16" s="216"/>
      <c r="C16" s="53"/>
      <c r="D16" s="100"/>
      <c r="E16" s="145"/>
      <c r="F16" s="102"/>
    </row>
    <row r="17" spans="1:6" ht="15" customHeight="1" thickBot="1" x14ac:dyDescent="0.35">
      <c r="A17" s="212"/>
      <c r="B17" s="46" t="s">
        <v>28</v>
      </c>
      <c r="C17" s="103"/>
      <c r="D17" s="58">
        <v>0.15</v>
      </c>
      <c r="E17" s="145"/>
      <c r="F17" s="201"/>
    </row>
    <row r="18" spans="1:6" ht="182.8" customHeight="1" thickBot="1" x14ac:dyDescent="0.35">
      <c r="A18" s="212"/>
      <c r="B18" s="49" t="s">
        <v>69</v>
      </c>
      <c r="C18" s="104" t="s">
        <v>59</v>
      </c>
      <c r="D18" s="122"/>
      <c r="E18" s="145"/>
      <c r="F18" s="197"/>
    </row>
    <row r="19" spans="1:6" ht="14.6" thickBot="1" x14ac:dyDescent="0.35">
      <c r="A19" s="212"/>
      <c r="B19" s="46" t="s">
        <v>31</v>
      </c>
      <c r="C19" s="105"/>
      <c r="D19" s="70">
        <v>0.05</v>
      </c>
      <c r="E19" s="145"/>
      <c r="F19" s="196"/>
    </row>
    <row r="20" spans="1:6" ht="190.5" customHeight="1" thickBot="1" x14ac:dyDescent="0.35">
      <c r="A20" s="212"/>
      <c r="B20" s="59" t="s">
        <v>70</v>
      </c>
      <c r="C20" s="106" t="s">
        <v>59</v>
      </c>
      <c r="D20" s="140"/>
      <c r="E20" s="145"/>
      <c r="F20" s="197"/>
    </row>
    <row r="21" spans="1:6" ht="14.8" customHeight="1" x14ac:dyDescent="0.3">
      <c r="A21" s="212"/>
      <c r="B21" s="107" t="s">
        <v>36</v>
      </c>
      <c r="C21" s="209" t="s">
        <v>72</v>
      </c>
      <c r="D21" s="147"/>
      <c r="E21" s="145"/>
      <c r="F21" s="194" t="s">
        <v>72</v>
      </c>
    </row>
    <row r="22" spans="1:6" ht="42" customHeight="1" thickBot="1" x14ac:dyDescent="0.35">
      <c r="A22" s="212"/>
      <c r="B22" s="63" t="s">
        <v>71</v>
      </c>
      <c r="C22" s="210"/>
      <c r="D22" s="108"/>
      <c r="E22" s="145"/>
      <c r="F22" s="195"/>
    </row>
    <row r="23" spans="1:6" ht="53.05" customHeight="1" thickBot="1" x14ac:dyDescent="0.35">
      <c r="A23" s="212"/>
      <c r="B23" s="65" t="s">
        <v>35</v>
      </c>
      <c r="C23" s="66" t="s">
        <v>73</v>
      </c>
      <c r="D23" s="67">
        <v>0.03</v>
      </c>
      <c r="E23" s="145"/>
      <c r="F23" s="68" t="s">
        <v>74</v>
      </c>
    </row>
    <row r="24" spans="1:6" ht="85.5" customHeight="1" thickBot="1" x14ac:dyDescent="0.35">
      <c r="A24" s="213"/>
      <c r="B24" s="65" t="s">
        <v>36</v>
      </c>
      <c r="C24" s="69" t="s">
        <v>96</v>
      </c>
      <c r="D24" s="149">
        <v>0.12</v>
      </c>
      <c r="E24" s="145"/>
      <c r="F24" s="68" t="s">
        <v>74</v>
      </c>
    </row>
    <row r="25" spans="1:6" ht="17.25" customHeight="1" thickBot="1" x14ac:dyDescent="0.35">
      <c r="A25" s="211" t="s">
        <v>37</v>
      </c>
      <c r="B25" s="109" t="s">
        <v>38</v>
      </c>
      <c r="C25" s="110"/>
      <c r="D25" s="149">
        <v>0.05</v>
      </c>
      <c r="E25" s="145"/>
      <c r="F25" s="196"/>
    </row>
    <row r="26" spans="1:6" ht="192.55" customHeight="1" thickBot="1" x14ac:dyDescent="0.35">
      <c r="A26" s="212"/>
      <c r="B26" s="49" t="s">
        <v>76</v>
      </c>
      <c r="C26" s="104" t="s">
        <v>59</v>
      </c>
      <c r="D26" s="122"/>
      <c r="E26" s="145"/>
      <c r="F26" s="197"/>
    </row>
    <row r="27" spans="1:6" ht="15" customHeight="1" thickBot="1" x14ac:dyDescent="0.35">
      <c r="A27" s="212"/>
      <c r="B27" s="111" t="s">
        <v>77</v>
      </c>
      <c r="C27" s="112"/>
      <c r="D27" s="58">
        <v>0.05</v>
      </c>
      <c r="E27" s="145"/>
      <c r="F27" s="198"/>
    </row>
    <row r="28" spans="1:6" ht="161.05000000000001" customHeight="1" thickBot="1" x14ac:dyDescent="0.35">
      <c r="A28" s="213"/>
      <c r="B28" s="113" t="s">
        <v>78</v>
      </c>
      <c r="C28" s="114" t="s">
        <v>59</v>
      </c>
      <c r="D28" s="122"/>
      <c r="E28" s="115"/>
      <c r="F28" s="199"/>
    </row>
    <row r="29" spans="1:6" ht="24.75" customHeight="1" thickBot="1" x14ac:dyDescent="0.35">
      <c r="A29" s="71"/>
      <c r="B29" s="72"/>
      <c r="C29" s="116"/>
      <c r="D29" s="130">
        <f>+SUM(D27,D25,D19,D17,D14,D12,D10,D8,D23,D24)</f>
        <v>0.55000000000000004</v>
      </c>
      <c r="E29" s="118"/>
      <c r="F29" s="141"/>
    </row>
    <row r="30" spans="1:6" s="76" customFormat="1" ht="57.45" customHeight="1" x14ac:dyDescent="0.3">
      <c r="A30" s="75"/>
      <c r="C30" s="117"/>
      <c r="D30" s="193" t="str">
        <f>IF(D29 &lt;&gt; 100%, "SUM MUST EQUAL 100%", " ")</f>
        <v>SUM MUST EQUAL 100%</v>
      </c>
      <c r="E30" s="118"/>
      <c r="F30" s="119"/>
    </row>
    <row r="31" spans="1:6" ht="15.45" x14ac:dyDescent="0.35">
      <c r="A31" s="80"/>
      <c r="C31" s="117"/>
    </row>
    <row r="32" spans="1:6" ht="17.600000000000001" customHeight="1" x14ac:dyDescent="0.4">
      <c r="A32" s="207" t="s">
        <v>79</v>
      </c>
      <c r="B32" s="208"/>
    </row>
    <row r="33" spans="1:4" ht="74.599999999999994" x14ac:dyDescent="0.35">
      <c r="A33" s="81" t="s">
        <v>80</v>
      </c>
      <c r="B33" s="81" t="s">
        <v>81</v>
      </c>
      <c r="C33" s="82" t="s">
        <v>82</v>
      </c>
    </row>
    <row r="34" spans="1:4" ht="62.15" x14ac:dyDescent="0.35">
      <c r="A34" s="81" t="s">
        <v>83</v>
      </c>
      <c r="B34" s="81" t="s">
        <v>84</v>
      </c>
      <c r="C34" s="82" t="s">
        <v>85</v>
      </c>
      <c r="D34" s="120"/>
    </row>
    <row r="35" spans="1:4" ht="61.3" customHeight="1" x14ac:dyDescent="0.35">
      <c r="A35" s="81" t="s">
        <v>86</v>
      </c>
      <c r="B35" s="81" t="s">
        <v>87</v>
      </c>
      <c r="C35" s="82" t="s">
        <v>88</v>
      </c>
      <c r="D35" s="120"/>
    </row>
    <row r="36" spans="1:4" ht="49.75" x14ac:dyDescent="0.35">
      <c r="A36" s="81" t="s">
        <v>89</v>
      </c>
      <c r="B36" s="81" t="s">
        <v>90</v>
      </c>
      <c r="C36" s="82" t="s">
        <v>91</v>
      </c>
      <c r="D36" s="120"/>
    </row>
    <row r="37" spans="1:4" ht="57.55" customHeight="1" x14ac:dyDescent="0.35">
      <c r="A37" s="81" t="s">
        <v>92</v>
      </c>
      <c r="B37" s="81" t="s">
        <v>93</v>
      </c>
      <c r="C37" s="82" t="s">
        <v>94</v>
      </c>
      <c r="D37" s="120"/>
    </row>
    <row r="38" spans="1:4" x14ac:dyDescent="0.35">
      <c r="D38" s="120"/>
    </row>
    <row r="39" spans="1:4" x14ac:dyDescent="0.35">
      <c r="A39" s="83" t="s">
        <v>95</v>
      </c>
      <c r="D39" s="120"/>
    </row>
    <row r="40" spans="1:4" x14ac:dyDescent="0.35">
      <c r="D40" s="120"/>
    </row>
  </sheetData>
  <mergeCells count="20">
    <mergeCell ref="A32:B32"/>
    <mergeCell ref="C21:C22"/>
    <mergeCell ref="A25:A28"/>
    <mergeCell ref="A8:A9"/>
    <mergeCell ref="A14:A24"/>
    <mergeCell ref="C14:C15"/>
    <mergeCell ref="B15:B16"/>
    <mergeCell ref="A10:A13"/>
    <mergeCell ref="C10:C11"/>
    <mergeCell ref="F8:F9"/>
    <mergeCell ref="F10:F11"/>
    <mergeCell ref="F12:F13"/>
    <mergeCell ref="B6:B7"/>
    <mergeCell ref="C6:C7"/>
    <mergeCell ref="F21:F22"/>
    <mergeCell ref="F25:F26"/>
    <mergeCell ref="F27:F28"/>
    <mergeCell ref="F14:F15"/>
    <mergeCell ref="F17:F18"/>
    <mergeCell ref="F19:F20"/>
  </mergeCells>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FDF31F2-E2AB-4C27-B64E-6697E5A0E730}">
  <sheetPr codeName="Sheet3"/>
  <dimension ref="A1:G39"/>
  <sheetViews>
    <sheetView zoomScale="61" zoomScaleNormal="61" workbookViewId="0">
      <selection activeCell="B1" sqref="B1"/>
    </sheetView>
  </sheetViews>
  <sheetFormatPr defaultColWidth="9.15234375" defaultRowHeight="14.15" x14ac:dyDescent="0.35"/>
  <cols>
    <col min="1" max="1" width="17" style="26" customWidth="1"/>
    <col min="2" max="2" width="76.69140625" style="6" customWidth="1"/>
    <col min="3" max="3" width="85.4609375" style="126" customWidth="1"/>
    <col min="4" max="4" width="12.53515625" style="33" customWidth="1"/>
    <col min="5" max="5" width="15.4609375" style="84" customWidth="1"/>
    <col min="6" max="6" width="84.69140625" style="126" customWidth="1"/>
    <col min="7" max="16384" width="9.15234375" style="26"/>
  </cols>
  <sheetData>
    <row r="1" spans="1:7" ht="15.45" x14ac:dyDescent="0.35">
      <c r="A1" s="155" t="s">
        <v>53</v>
      </c>
      <c r="B1" s="153"/>
      <c r="F1" s="11"/>
    </row>
    <row r="2" spans="1:7" ht="14.05" customHeight="1" x14ac:dyDescent="0.35">
      <c r="A2" s="155" t="s">
        <v>54</v>
      </c>
      <c r="B2" s="153"/>
      <c r="C2" s="142"/>
      <c r="D2" s="85"/>
      <c r="F2" s="11"/>
    </row>
    <row r="3" spans="1:7" ht="15.45" x14ac:dyDescent="0.4">
      <c r="A3" s="154" t="s">
        <v>113</v>
      </c>
      <c r="B3" s="156" t="s">
        <v>118</v>
      </c>
      <c r="C3" s="86"/>
      <c r="F3" s="11"/>
    </row>
    <row r="4" spans="1:7" x14ac:dyDescent="0.35">
      <c r="B4" s="36"/>
      <c r="C4" s="86"/>
      <c r="E4" s="88"/>
      <c r="F4" s="11"/>
    </row>
    <row r="5" spans="1:7" x14ac:dyDescent="0.35">
      <c r="B5" s="36"/>
      <c r="D5" s="123">
        <f>B1</f>
        <v>0</v>
      </c>
    </row>
    <row r="6" spans="1:7" x14ac:dyDescent="0.3">
      <c r="A6" s="40"/>
      <c r="B6" s="203" t="s">
        <v>5</v>
      </c>
      <c r="C6" s="205" t="s">
        <v>55</v>
      </c>
      <c r="D6" s="41" t="s">
        <v>56</v>
      </c>
      <c r="E6" s="89" t="s">
        <v>109</v>
      </c>
      <c r="F6" s="90" t="s">
        <v>57</v>
      </c>
    </row>
    <row r="7" spans="1:7" ht="14.6" thickBot="1" x14ac:dyDescent="0.35">
      <c r="A7" s="44"/>
      <c r="B7" s="204"/>
      <c r="C7" s="206"/>
      <c r="D7" s="45" t="s">
        <v>58</v>
      </c>
      <c r="E7" s="89"/>
      <c r="F7" s="90"/>
    </row>
    <row r="8" spans="1:7" ht="16.3" customHeight="1" thickBot="1" x14ac:dyDescent="0.35">
      <c r="A8" s="211" t="s">
        <v>9</v>
      </c>
      <c r="B8" s="91" t="s">
        <v>10</v>
      </c>
      <c r="C8" s="92"/>
      <c r="D8" s="58">
        <v>0.1</v>
      </c>
      <c r="E8" s="151"/>
      <c r="F8" s="202"/>
    </row>
    <row r="9" spans="1:7" ht="172.3" customHeight="1" thickBot="1" x14ac:dyDescent="0.35">
      <c r="A9" s="213"/>
      <c r="B9" s="49" t="s">
        <v>60</v>
      </c>
      <c r="C9" s="94" t="s">
        <v>59</v>
      </c>
      <c r="D9" s="131"/>
      <c r="E9" s="144"/>
      <c r="F9" s="197"/>
      <c r="G9" s="96"/>
    </row>
    <row r="10" spans="1:7" ht="14.25" customHeight="1" thickBot="1" x14ac:dyDescent="0.35">
      <c r="A10" s="211" t="s">
        <v>11</v>
      </c>
      <c r="B10" s="46" t="s">
        <v>42</v>
      </c>
      <c r="C10" s="194" t="s">
        <v>61</v>
      </c>
      <c r="D10" s="150"/>
      <c r="E10" s="97" t="s">
        <v>114</v>
      </c>
      <c r="F10" s="194" t="s">
        <v>62</v>
      </c>
      <c r="G10" s="96"/>
    </row>
    <row r="11" spans="1:7" ht="25.5" customHeight="1" thickBot="1" x14ac:dyDescent="0.35">
      <c r="A11" s="212"/>
      <c r="B11" s="126" t="s">
        <v>63</v>
      </c>
      <c r="C11" s="195"/>
      <c r="D11" s="131" t="s">
        <v>64</v>
      </c>
      <c r="E11" s="95"/>
      <c r="F11" s="195"/>
      <c r="G11" s="96"/>
    </row>
    <row r="12" spans="1:7" ht="15" customHeight="1" thickBot="1" x14ac:dyDescent="0.35">
      <c r="A12" s="212"/>
      <c r="B12" s="46" t="s">
        <v>65</v>
      </c>
      <c r="C12" s="98"/>
      <c r="D12" s="150"/>
      <c r="E12" s="93" t="s">
        <v>104</v>
      </c>
      <c r="F12" s="196"/>
      <c r="G12" s="96"/>
    </row>
    <row r="13" spans="1:7" ht="191.05" customHeight="1" thickBot="1" x14ac:dyDescent="0.35">
      <c r="A13" s="213"/>
      <c r="B13" s="49" t="s">
        <v>66</v>
      </c>
      <c r="C13" s="94" t="s">
        <v>59</v>
      </c>
      <c r="D13" s="131"/>
      <c r="E13" s="95"/>
      <c r="F13" s="197"/>
    </row>
    <row r="14" spans="1:7" ht="15" customHeight="1" thickBot="1" x14ac:dyDescent="0.35">
      <c r="A14" s="211" t="s">
        <v>21</v>
      </c>
      <c r="B14" s="46" t="s">
        <v>47</v>
      </c>
      <c r="C14" s="194" t="s">
        <v>67</v>
      </c>
      <c r="D14" s="150"/>
      <c r="E14" s="93" t="s">
        <v>26</v>
      </c>
      <c r="F14" s="194" t="s">
        <v>67</v>
      </c>
    </row>
    <row r="15" spans="1:7" ht="66.75" customHeight="1" thickBot="1" x14ac:dyDescent="0.35">
      <c r="A15" s="212"/>
      <c r="B15" s="215" t="s">
        <v>68</v>
      </c>
      <c r="C15" s="214"/>
      <c r="D15" s="132"/>
      <c r="E15" s="99"/>
      <c r="F15" s="195"/>
    </row>
    <row r="16" spans="1:7" ht="14.25" hidden="1" customHeight="1" thickBot="1" x14ac:dyDescent="0.35">
      <c r="A16" s="212"/>
      <c r="B16" s="216"/>
      <c r="C16" s="53"/>
      <c r="D16" s="128"/>
      <c r="E16" s="101"/>
      <c r="F16" s="102"/>
    </row>
    <row r="17" spans="1:6" ht="15" customHeight="1" thickBot="1" x14ac:dyDescent="0.35">
      <c r="A17" s="212"/>
      <c r="B17" s="46" t="s">
        <v>28</v>
      </c>
      <c r="C17" s="103"/>
      <c r="D17" s="150"/>
      <c r="E17" s="93" t="s">
        <v>110</v>
      </c>
      <c r="F17" s="201"/>
    </row>
    <row r="18" spans="1:6" ht="182.8" customHeight="1" thickBot="1" x14ac:dyDescent="0.35">
      <c r="A18" s="212"/>
      <c r="B18" s="49" t="s">
        <v>69</v>
      </c>
      <c r="C18" s="104" t="s">
        <v>59</v>
      </c>
      <c r="D18" s="131" t="s">
        <v>64</v>
      </c>
      <c r="E18" s="108"/>
      <c r="F18" s="197"/>
    </row>
    <row r="19" spans="1:6" ht="14.6" thickBot="1" x14ac:dyDescent="0.35">
      <c r="A19" s="212"/>
      <c r="B19" s="46" t="s">
        <v>31</v>
      </c>
      <c r="C19" s="105"/>
      <c r="D19" s="58">
        <v>0</v>
      </c>
      <c r="E19" s="108"/>
      <c r="F19" s="196"/>
    </row>
    <row r="20" spans="1:6" ht="190.5" customHeight="1" thickBot="1" x14ac:dyDescent="0.35">
      <c r="A20" s="212"/>
      <c r="B20" s="59" t="s">
        <v>70</v>
      </c>
      <c r="C20" s="106" t="s">
        <v>59</v>
      </c>
      <c r="D20" s="143" t="s">
        <v>64</v>
      </c>
      <c r="E20" s="108"/>
      <c r="F20" s="197"/>
    </row>
    <row r="21" spans="1:6" ht="14.8" customHeight="1" x14ac:dyDescent="0.3">
      <c r="A21" s="212"/>
      <c r="B21" s="107" t="s">
        <v>36</v>
      </c>
      <c r="C21" s="209" t="s">
        <v>72</v>
      </c>
      <c r="D21" s="108"/>
      <c r="E21" s="108"/>
      <c r="F21" s="194" t="s">
        <v>72</v>
      </c>
    </row>
    <row r="22" spans="1:6" ht="42" customHeight="1" thickBot="1" x14ac:dyDescent="0.35">
      <c r="A22" s="212"/>
      <c r="B22" s="63" t="s">
        <v>71</v>
      </c>
      <c r="C22" s="195"/>
      <c r="D22" s="133"/>
      <c r="E22" s="108"/>
      <c r="F22" s="195"/>
    </row>
    <row r="23" spans="1:6" ht="53.05" customHeight="1" thickBot="1" x14ac:dyDescent="0.35">
      <c r="A23" s="212"/>
      <c r="B23" s="65" t="s">
        <v>35</v>
      </c>
      <c r="C23" s="66" t="s">
        <v>73</v>
      </c>
      <c r="D23" s="67">
        <v>0.03</v>
      </c>
      <c r="E23" s="108"/>
      <c r="F23" s="68" t="s">
        <v>74</v>
      </c>
    </row>
    <row r="24" spans="1:6" ht="85.5" customHeight="1" thickBot="1" x14ac:dyDescent="0.35">
      <c r="A24" s="213"/>
      <c r="B24" s="65" t="s">
        <v>36</v>
      </c>
      <c r="C24" s="69" t="s">
        <v>96</v>
      </c>
      <c r="D24" s="67">
        <v>7.0000000000000007E-2</v>
      </c>
      <c r="E24" s="108"/>
      <c r="F24" s="68" t="s">
        <v>74</v>
      </c>
    </row>
    <row r="25" spans="1:6" ht="17.25" customHeight="1" thickBot="1" x14ac:dyDescent="0.35">
      <c r="A25" s="211" t="s">
        <v>37</v>
      </c>
      <c r="B25" s="109" t="s">
        <v>38</v>
      </c>
      <c r="C25" s="110"/>
      <c r="D25" s="58">
        <v>0.05</v>
      </c>
      <c r="E25" s="108"/>
      <c r="F25" s="196"/>
    </row>
    <row r="26" spans="1:6" ht="192.55" customHeight="1" thickBot="1" x14ac:dyDescent="0.35">
      <c r="A26" s="212"/>
      <c r="B26" s="49" t="s">
        <v>76</v>
      </c>
      <c r="C26" s="104" t="s">
        <v>59</v>
      </c>
      <c r="D26" s="131" t="s">
        <v>64</v>
      </c>
      <c r="E26" s="108"/>
      <c r="F26" s="197"/>
    </row>
    <row r="27" spans="1:6" ht="15" customHeight="1" thickBot="1" x14ac:dyDescent="0.35">
      <c r="A27" s="212"/>
      <c r="B27" s="111" t="s">
        <v>77</v>
      </c>
      <c r="C27" s="112"/>
      <c r="D27" s="58">
        <v>0.05</v>
      </c>
      <c r="E27" s="108"/>
      <c r="F27" s="198"/>
    </row>
    <row r="28" spans="1:6" ht="161.05000000000001" customHeight="1" thickBot="1" x14ac:dyDescent="0.35">
      <c r="A28" s="213"/>
      <c r="B28" s="113" t="s">
        <v>78</v>
      </c>
      <c r="C28" s="114" t="s">
        <v>59</v>
      </c>
      <c r="D28" s="131"/>
      <c r="E28" s="144"/>
      <c r="F28" s="199"/>
    </row>
    <row r="29" spans="1:6" ht="24.75" customHeight="1" thickBot="1" x14ac:dyDescent="0.35">
      <c r="A29" s="71"/>
      <c r="B29" s="72"/>
      <c r="C29" s="116"/>
      <c r="D29" s="130">
        <f>+SUM(D27,D25,D19,D17,D14,D12,D10,D8,D23,D24)</f>
        <v>0.30000000000000004</v>
      </c>
      <c r="E29" s="152"/>
      <c r="F29" s="141"/>
    </row>
    <row r="30" spans="1:6" s="76" customFormat="1" ht="57.45" customHeight="1" x14ac:dyDescent="0.3">
      <c r="A30" s="75"/>
      <c r="C30" s="117"/>
      <c r="D30" s="193" t="str">
        <f>IF(D29 &lt;&gt; 100%, "SUM MUST EQUAL 100%", " ")</f>
        <v>SUM MUST EQUAL 100%</v>
      </c>
      <c r="E30" s="118"/>
      <c r="F30" s="119"/>
    </row>
    <row r="31" spans="1:6" ht="15.45" x14ac:dyDescent="0.35">
      <c r="A31" s="80"/>
      <c r="C31" s="117"/>
    </row>
    <row r="32" spans="1:6" ht="17.600000000000001" customHeight="1" x14ac:dyDescent="0.4">
      <c r="A32" s="207" t="s">
        <v>79</v>
      </c>
      <c r="B32" s="208"/>
    </row>
    <row r="33" spans="1:3" ht="74.599999999999994" x14ac:dyDescent="0.35">
      <c r="A33" s="81" t="s">
        <v>80</v>
      </c>
      <c r="B33" s="81" t="s">
        <v>81</v>
      </c>
      <c r="C33" s="82" t="s">
        <v>82</v>
      </c>
    </row>
    <row r="34" spans="1:3" ht="62.15" x14ac:dyDescent="0.35">
      <c r="A34" s="81" t="s">
        <v>83</v>
      </c>
      <c r="B34" s="81" t="s">
        <v>84</v>
      </c>
      <c r="C34" s="82" t="s">
        <v>85</v>
      </c>
    </row>
    <row r="35" spans="1:3" ht="61.3" customHeight="1" x14ac:dyDescent="0.35">
      <c r="A35" s="81" t="s">
        <v>86</v>
      </c>
      <c r="B35" s="81" t="s">
        <v>87</v>
      </c>
      <c r="C35" s="82" t="s">
        <v>88</v>
      </c>
    </row>
    <row r="36" spans="1:3" ht="49.75" x14ac:dyDescent="0.35">
      <c r="A36" s="81" t="s">
        <v>89</v>
      </c>
      <c r="B36" s="81" t="s">
        <v>90</v>
      </c>
      <c r="C36" s="82" t="s">
        <v>91</v>
      </c>
    </row>
    <row r="37" spans="1:3" ht="57.55" customHeight="1" x14ac:dyDescent="0.35">
      <c r="A37" s="81" t="s">
        <v>92</v>
      </c>
      <c r="B37" s="81" t="s">
        <v>93</v>
      </c>
      <c r="C37" s="82" t="s">
        <v>94</v>
      </c>
    </row>
    <row r="39" spans="1:3" x14ac:dyDescent="0.35">
      <c r="A39" s="83" t="s">
        <v>95</v>
      </c>
    </row>
  </sheetData>
  <mergeCells count="20">
    <mergeCell ref="B6:B7"/>
    <mergeCell ref="C6:C7"/>
    <mergeCell ref="A8:A9"/>
    <mergeCell ref="F8:F9"/>
    <mergeCell ref="A10:A13"/>
    <mergeCell ref="C10:C11"/>
    <mergeCell ref="F10:F11"/>
    <mergeCell ref="F12:F13"/>
    <mergeCell ref="A25:A28"/>
    <mergeCell ref="F25:F26"/>
    <mergeCell ref="F27:F28"/>
    <mergeCell ref="A32:B32"/>
    <mergeCell ref="F19:F20"/>
    <mergeCell ref="C21:C22"/>
    <mergeCell ref="F21:F22"/>
    <mergeCell ref="A14:A24"/>
    <mergeCell ref="B15:B16"/>
    <mergeCell ref="F17:F18"/>
    <mergeCell ref="C14:C15"/>
    <mergeCell ref="F14:F15"/>
  </mergeCells>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AD51C9A-4398-4978-B124-0E4B44B7991F}">
  <sheetPr codeName="Sheet4"/>
  <dimension ref="A1:G39"/>
  <sheetViews>
    <sheetView tabSelected="1" workbookViewId="0">
      <selection activeCell="B1" sqref="B1"/>
    </sheetView>
  </sheetViews>
  <sheetFormatPr defaultColWidth="9.15234375" defaultRowHeight="14.15" x14ac:dyDescent="0.35"/>
  <cols>
    <col min="1" max="1" width="17" style="26" customWidth="1"/>
    <col min="2" max="2" width="76.69140625" style="6" customWidth="1"/>
    <col min="3" max="3" width="85.4609375" style="126" customWidth="1"/>
    <col min="4" max="4" width="12.53515625" style="33" customWidth="1"/>
    <col min="5" max="5" width="15.4609375" style="84" customWidth="1"/>
    <col min="6" max="6" width="84.69140625" style="126" customWidth="1"/>
    <col min="7" max="16384" width="9.15234375" style="26"/>
  </cols>
  <sheetData>
    <row r="1" spans="1:7" ht="15.45" x14ac:dyDescent="0.35">
      <c r="A1" s="155" t="s">
        <v>53</v>
      </c>
      <c r="B1" s="153"/>
      <c r="F1" s="11"/>
    </row>
    <row r="2" spans="1:7" ht="14.05" customHeight="1" x14ac:dyDescent="0.35">
      <c r="A2" s="155" t="s">
        <v>54</v>
      </c>
      <c r="B2" s="153"/>
      <c r="D2" s="85"/>
      <c r="F2" s="11"/>
    </row>
    <row r="3" spans="1:7" ht="15.45" x14ac:dyDescent="0.4">
      <c r="A3" s="154" t="s">
        <v>113</v>
      </c>
      <c r="B3" s="156" t="s">
        <v>118</v>
      </c>
      <c r="C3" s="86"/>
      <c r="F3" s="11"/>
    </row>
    <row r="4" spans="1:7" x14ac:dyDescent="0.35">
      <c r="A4" s="6"/>
      <c r="B4" s="36"/>
      <c r="C4" s="86"/>
      <c r="E4" s="88"/>
      <c r="F4" s="11"/>
    </row>
    <row r="5" spans="1:7" x14ac:dyDescent="0.35">
      <c r="B5" s="36"/>
      <c r="D5" s="123">
        <f>B1</f>
        <v>0</v>
      </c>
    </row>
    <row r="6" spans="1:7" x14ac:dyDescent="0.3">
      <c r="A6" s="40"/>
      <c r="B6" s="203" t="s">
        <v>5</v>
      </c>
      <c r="C6" s="205" t="s">
        <v>55</v>
      </c>
      <c r="D6" s="41" t="s">
        <v>56</v>
      </c>
      <c r="E6" s="89" t="s">
        <v>109</v>
      </c>
      <c r="F6" s="90" t="s">
        <v>57</v>
      </c>
    </row>
    <row r="7" spans="1:7" ht="14.6" thickBot="1" x14ac:dyDescent="0.35">
      <c r="A7" s="44"/>
      <c r="B7" s="204"/>
      <c r="C7" s="206"/>
      <c r="D7" s="45" t="s">
        <v>58</v>
      </c>
      <c r="E7" s="45"/>
      <c r="F7" s="45"/>
    </row>
    <row r="8" spans="1:7" ht="16.3" customHeight="1" thickBot="1" x14ac:dyDescent="0.35">
      <c r="A8" s="211" t="s">
        <v>9</v>
      </c>
      <c r="B8" s="91" t="s">
        <v>10</v>
      </c>
      <c r="C8" s="92"/>
      <c r="D8" s="47">
        <v>0.1</v>
      </c>
      <c r="E8" s="157"/>
      <c r="F8" s="202"/>
    </row>
    <row r="9" spans="1:7" ht="172.3" customHeight="1" thickBot="1" x14ac:dyDescent="0.35">
      <c r="A9" s="213"/>
      <c r="B9" s="49" t="s">
        <v>60</v>
      </c>
      <c r="C9" s="94" t="s">
        <v>59</v>
      </c>
      <c r="D9" s="137"/>
      <c r="E9" s="144"/>
      <c r="F9" s="197"/>
      <c r="G9" s="96"/>
    </row>
    <row r="10" spans="1:7" ht="14.25" customHeight="1" thickBot="1" x14ac:dyDescent="0.35">
      <c r="A10" s="211" t="s">
        <v>11</v>
      </c>
      <c r="B10" s="46" t="s">
        <v>42</v>
      </c>
      <c r="C10" s="194" t="s">
        <v>61</v>
      </c>
      <c r="D10" s="129"/>
      <c r="E10" s="97" t="s">
        <v>103</v>
      </c>
      <c r="F10" s="194" t="s">
        <v>62</v>
      </c>
      <c r="G10" s="96"/>
    </row>
    <row r="11" spans="1:7" ht="25.5" customHeight="1" thickBot="1" x14ac:dyDescent="0.35">
      <c r="A11" s="212"/>
      <c r="B11" s="126" t="s">
        <v>63</v>
      </c>
      <c r="C11" s="195"/>
      <c r="D11" s="137" t="s">
        <v>64</v>
      </c>
      <c r="E11" s="95"/>
      <c r="F11" s="195"/>
      <c r="G11" s="96"/>
    </row>
    <row r="12" spans="1:7" ht="15" customHeight="1" thickBot="1" x14ac:dyDescent="0.35">
      <c r="A12" s="212"/>
      <c r="B12" s="46" t="s">
        <v>65</v>
      </c>
      <c r="C12" s="98"/>
      <c r="D12" s="129"/>
      <c r="E12" s="93" t="s">
        <v>115</v>
      </c>
      <c r="F12" s="196"/>
      <c r="G12" s="96"/>
    </row>
    <row r="13" spans="1:7" ht="191.05" customHeight="1" thickBot="1" x14ac:dyDescent="0.35">
      <c r="A13" s="213"/>
      <c r="B13" s="49" t="s">
        <v>66</v>
      </c>
      <c r="C13" s="94" t="s">
        <v>59</v>
      </c>
      <c r="D13" s="137"/>
      <c r="E13" s="95"/>
      <c r="F13" s="197"/>
    </row>
    <row r="14" spans="1:7" ht="15" customHeight="1" thickBot="1" x14ac:dyDescent="0.35">
      <c r="A14" s="211" t="s">
        <v>21</v>
      </c>
      <c r="B14" s="46" t="s">
        <v>47</v>
      </c>
      <c r="C14" s="194" t="s">
        <v>67</v>
      </c>
      <c r="D14" s="129"/>
      <c r="E14" s="93" t="s">
        <v>105</v>
      </c>
      <c r="F14" s="194" t="s">
        <v>67</v>
      </c>
    </row>
    <row r="15" spans="1:7" ht="66.75" customHeight="1" thickBot="1" x14ac:dyDescent="0.35">
      <c r="A15" s="212"/>
      <c r="B15" s="215" t="s">
        <v>68</v>
      </c>
      <c r="C15" s="214"/>
      <c r="D15" s="138"/>
      <c r="E15" s="99"/>
      <c r="F15" s="195"/>
    </row>
    <row r="16" spans="1:7" ht="14.25" hidden="1" customHeight="1" thickBot="1" x14ac:dyDescent="0.35">
      <c r="A16" s="212"/>
      <c r="B16" s="216"/>
      <c r="C16" s="53"/>
      <c r="D16" s="128"/>
      <c r="E16" s="101"/>
      <c r="F16" s="102"/>
    </row>
    <row r="17" spans="1:6" ht="15" customHeight="1" thickBot="1" x14ac:dyDescent="0.35">
      <c r="A17" s="212"/>
      <c r="B17" s="46" t="s">
        <v>28</v>
      </c>
      <c r="C17" s="103"/>
      <c r="D17" s="129"/>
      <c r="E17" s="93" t="s">
        <v>106</v>
      </c>
      <c r="F17" s="201"/>
    </row>
    <row r="18" spans="1:6" ht="182.8" customHeight="1" thickBot="1" x14ac:dyDescent="0.35">
      <c r="A18" s="212"/>
      <c r="B18" s="49" t="s">
        <v>69</v>
      </c>
      <c r="C18" s="104" t="s">
        <v>59</v>
      </c>
      <c r="D18" s="137" t="s">
        <v>64</v>
      </c>
      <c r="E18" s="158"/>
      <c r="F18" s="197"/>
    </row>
    <row r="19" spans="1:6" ht="14.6" thickBot="1" x14ac:dyDescent="0.35">
      <c r="A19" s="212"/>
      <c r="B19" s="46" t="s">
        <v>31</v>
      </c>
      <c r="C19" s="105"/>
      <c r="D19" s="129"/>
      <c r="E19" s="93" t="s">
        <v>107</v>
      </c>
      <c r="F19" s="218"/>
    </row>
    <row r="20" spans="1:6" ht="190.5" customHeight="1" thickBot="1" x14ac:dyDescent="0.35">
      <c r="A20" s="212"/>
      <c r="B20" s="59" t="s">
        <v>70</v>
      </c>
      <c r="C20" s="106" t="s">
        <v>59</v>
      </c>
      <c r="D20" s="143" t="s">
        <v>64</v>
      </c>
      <c r="E20" s="145"/>
      <c r="F20" s="219"/>
    </row>
    <row r="21" spans="1:6" ht="14.8" customHeight="1" x14ac:dyDescent="0.3">
      <c r="A21" s="212"/>
      <c r="B21" s="107" t="s">
        <v>36</v>
      </c>
      <c r="C21" s="209" t="s">
        <v>72</v>
      </c>
      <c r="D21" s="159"/>
      <c r="E21" s="145"/>
      <c r="F21" s="217" t="s">
        <v>72</v>
      </c>
    </row>
    <row r="22" spans="1:6" ht="42" customHeight="1" thickBot="1" x14ac:dyDescent="0.35">
      <c r="A22" s="212"/>
      <c r="B22" s="63" t="s">
        <v>71</v>
      </c>
      <c r="C22" s="195"/>
      <c r="D22" s="139"/>
      <c r="E22" s="108"/>
      <c r="F22" s="195"/>
    </row>
    <row r="23" spans="1:6" ht="53.05" customHeight="1" thickBot="1" x14ac:dyDescent="0.35">
      <c r="A23" s="212"/>
      <c r="B23" s="65" t="s">
        <v>35</v>
      </c>
      <c r="C23" s="66" t="s">
        <v>73</v>
      </c>
      <c r="D23" s="67">
        <v>0.03</v>
      </c>
      <c r="E23" s="145"/>
      <c r="F23" s="68" t="s">
        <v>74</v>
      </c>
    </row>
    <row r="24" spans="1:6" ht="85.5" customHeight="1" thickBot="1" x14ac:dyDescent="0.35">
      <c r="A24" s="213"/>
      <c r="B24" s="65" t="s">
        <v>36</v>
      </c>
      <c r="C24" s="69" t="s">
        <v>96</v>
      </c>
      <c r="D24" s="129"/>
      <c r="E24" s="93" t="s">
        <v>116</v>
      </c>
      <c r="F24" s="68" t="s">
        <v>74</v>
      </c>
    </row>
    <row r="25" spans="1:6" ht="17.25" customHeight="1" thickBot="1" x14ac:dyDescent="0.35">
      <c r="A25" s="211" t="s">
        <v>37</v>
      </c>
      <c r="B25" s="109" t="s">
        <v>38</v>
      </c>
      <c r="C25" s="110"/>
      <c r="D25" s="58">
        <v>0.05</v>
      </c>
      <c r="E25" s="161"/>
      <c r="F25" s="196"/>
    </row>
    <row r="26" spans="1:6" ht="192.55" customHeight="1" thickBot="1" x14ac:dyDescent="0.35">
      <c r="A26" s="212"/>
      <c r="B26" s="49" t="s">
        <v>76</v>
      </c>
      <c r="C26" s="104" t="s">
        <v>59</v>
      </c>
      <c r="D26" s="137" t="s">
        <v>64</v>
      </c>
      <c r="E26" s="108"/>
      <c r="F26" s="197"/>
    </row>
    <row r="27" spans="1:6" ht="15" customHeight="1" thickBot="1" x14ac:dyDescent="0.35">
      <c r="A27" s="212"/>
      <c r="B27" s="111" t="s">
        <v>77</v>
      </c>
      <c r="C27" s="112"/>
      <c r="D27" s="58">
        <v>0.05</v>
      </c>
      <c r="E27" s="145"/>
      <c r="F27" s="198"/>
    </row>
    <row r="28" spans="1:6" ht="161.05000000000001" customHeight="1" thickBot="1" x14ac:dyDescent="0.35">
      <c r="A28" s="213"/>
      <c r="B28" s="113" t="s">
        <v>78</v>
      </c>
      <c r="C28" s="114" t="s">
        <v>59</v>
      </c>
      <c r="D28" s="137"/>
      <c r="E28" s="144"/>
      <c r="F28" s="199"/>
    </row>
    <row r="29" spans="1:6" ht="24.75" customHeight="1" thickBot="1" x14ac:dyDescent="0.35">
      <c r="A29" s="71"/>
      <c r="B29" s="72"/>
      <c r="C29" s="116"/>
      <c r="D29" s="130">
        <f>+SUM(D27,D25,D19,D17,D14,D12,D10,D8,D23,D24)</f>
        <v>0.23</v>
      </c>
      <c r="E29" s="160"/>
      <c r="F29" s="141"/>
    </row>
    <row r="30" spans="1:6" s="76" customFormat="1" ht="54.45" customHeight="1" x14ac:dyDescent="0.3">
      <c r="A30" s="75"/>
      <c r="C30" s="117"/>
      <c r="D30" s="193" t="str">
        <f>IF(D29 &lt;&gt; 100%, "SUM MUST EQUAL 100%", " ")</f>
        <v>SUM MUST EQUAL 100%</v>
      </c>
      <c r="E30" s="118"/>
      <c r="F30" s="119"/>
    </row>
    <row r="31" spans="1:6" ht="15.45" x14ac:dyDescent="0.35">
      <c r="A31" s="80"/>
      <c r="C31" s="117"/>
    </row>
    <row r="32" spans="1:6" ht="17.600000000000001" customHeight="1" x14ac:dyDescent="0.4">
      <c r="A32" s="207" t="s">
        <v>79</v>
      </c>
      <c r="B32" s="208"/>
    </row>
    <row r="33" spans="1:3" ht="74.599999999999994" x14ac:dyDescent="0.35">
      <c r="A33" s="81" t="s">
        <v>80</v>
      </c>
      <c r="B33" s="81" t="s">
        <v>81</v>
      </c>
      <c r="C33" s="82" t="s">
        <v>82</v>
      </c>
    </row>
    <row r="34" spans="1:3" ht="62.15" x14ac:dyDescent="0.35">
      <c r="A34" s="81" t="s">
        <v>83</v>
      </c>
      <c r="B34" s="81" t="s">
        <v>84</v>
      </c>
      <c r="C34" s="82" t="s">
        <v>85</v>
      </c>
    </row>
    <row r="35" spans="1:3" ht="61.3" customHeight="1" x14ac:dyDescent="0.35">
      <c r="A35" s="81" t="s">
        <v>86</v>
      </c>
      <c r="B35" s="81" t="s">
        <v>87</v>
      </c>
      <c r="C35" s="82" t="s">
        <v>88</v>
      </c>
    </row>
    <row r="36" spans="1:3" ht="49.75" x14ac:dyDescent="0.35">
      <c r="A36" s="81" t="s">
        <v>89</v>
      </c>
      <c r="B36" s="81" t="s">
        <v>90</v>
      </c>
      <c r="C36" s="82" t="s">
        <v>91</v>
      </c>
    </row>
    <row r="37" spans="1:3" ht="57.55" customHeight="1" x14ac:dyDescent="0.35">
      <c r="A37" s="81" t="s">
        <v>92</v>
      </c>
      <c r="B37" s="81" t="s">
        <v>93</v>
      </c>
      <c r="C37" s="82" t="s">
        <v>94</v>
      </c>
    </row>
    <row r="39" spans="1:3" x14ac:dyDescent="0.35">
      <c r="A39" s="83" t="s">
        <v>95</v>
      </c>
    </row>
  </sheetData>
  <mergeCells count="20">
    <mergeCell ref="B6:B7"/>
    <mergeCell ref="C6:C7"/>
    <mergeCell ref="A8:A9"/>
    <mergeCell ref="F8:F9"/>
    <mergeCell ref="A14:A24"/>
    <mergeCell ref="C14:C15"/>
    <mergeCell ref="F14:F15"/>
    <mergeCell ref="B15:B16"/>
    <mergeCell ref="F17:F18"/>
    <mergeCell ref="F19:F20"/>
    <mergeCell ref="A10:A13"/>
    <mergeCell ref="C10:C11"/>
    <mergeCell ref="F10:F11"/>
    <mergeCell ref="F12:F13"/>
    <mergeCell ref="A32:B32"/>
    <mergeCell ref="C21:C22"/>
    <mergeCell ref="F21:F22"/>
    <mergeCell ref="A25:A28"/>
    <mergeCell ref="F25:F26"/>
    <mergeCell ref="F27:F28"/>
  </mergeCells>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7FD5810-C2F7-4945-9CCB-E769E1E2765F}">
  <sheetPr codeName="Sheet5"/>
  <dimension ref="A1:F40"/>
  <sheetViews>
    <sheetView topLeftCell="C21" workbookViewId="0">
      <selection activeCell="D31" sqref="D31"/>
    </sheetView>
  </sheetViews>
  <sheetFormatPr defaultColWidth="9.15234375" defaultRowHeight="14.15" x14ac:dyDescent="0.35"/>
  <cols>
    <col min="1" max="1" width="17" style="26" customWidth="1"/>
    <col min="2" max="2" width="79" style="6" customWidth="1"/>
    <col min="3" max="3" width="73.53515625" style="6" customWidth="1"/>
    <col min="4" max="4" width="16.53515625" style="37" customWidth="1"/>
    <col min="5" max="5" width="18.4609375" style="34" customWidth="1"/>
    <col min="6" max="6" width="81.69140625" style="39" customWidth="1"/>
    <col min="7" max="16384" width="9.15234375" style="26"/>
  </cols>
  <sheetData>
    <row r="1" spans="1:6" ht="15.45" x14ac:dyDescent="0.35">
      <c r="A1" s="155" t="s">
        <v>53</v>
      </c>
      <c r="B1" s="153"/>
      <c r="D1" s="33"/>
      <c r="F1" s="35"/>
    </row>
    <row r="2" spans="1:6" ht="15.45" x14ac:dyDescent="0.35">
      <c r="A2" s="155" t="s">
        <v>54</v>
      </c>
      <c r="B2" s="153"/>
      <c r="D2" s="33"/>
      <c r="F2" s="35"/>
    </row>
    <row r="3" spans="1:6" ht="15.45" x14ac:dyDescent="0.4">
      <c r="A3" s="154" t="s">
        <v>113</v>
      </c>
      <c r="B3" s="156" t="s">
        <v>118</v>
      </c>
      <c r="C3" s="36"/>
      <c r="F3" s="35"/>
    </row>
    <row r="4" spans="1:6" x14ac:dyDescent="0.35">
      <c r="A4" s="6"/>
      <c r="B4" s="36"/>
      <c r="C4" s="36"/>
      <c r="D4" s="33"/>
      <c r="E4" s="38"/>
      <c r="F4" s="35"/>
    </row>
    <row r="5" spans="1:6" x14ac:dyDescent="0.35">
      <c r="B5" s="36"/>
      <c r="D5" s="134">
        <f>B1</f>
        <v>0</v>
      </c>
    </row>
    <row r="6" spans="1:6" x14ac:dyDescent="0.3">
      <c r="A6" s="40"/>
      <c r="B6" s="203" t="s">
        <v>5</v>
      </c>
      <c r="C6" s="220" t="s">
        <v>55</v>
      </c>
      <c r="D6" s="41" t="s">
        <v>56</v>
      </c>
      <c r="E6" s="42" t="s">
        <v>109</v>
      </c>
      <c r="F6" s="43" t="s">
        <v>57</v>
      </c>
    </row>
    <row r="7" spans="1:6" ht="14.6" thickBot="1" x14ac:dyDescent="0.35">
      <c r="A7" s="44"/>
      <c r="B7" s="203"/>
      <c r="C7" s="204"/>
      <c r="D7" s="45" t="s">
        <v>58</v>
      </c>
      <c r="E7" s="163"/>
      <c r="F7" s="124"/>
    </row>
    <row r="8" spans="1:6" ht="15" customHeight="1" thickBot="1" x14ac:dyDescent="0.35">
      <c r="A8" s="221" t="s">
        <v>9</v>
      </c>
      <c r="B8" s="46" t="s">
        <v>10</v>
      </c>
      <c r="C8" s="222" t="s">
        <v>59</v>
      </c>
      <c r="D8" s="58">
        <v>0.1</v>
      </c>
      <c r="E8" s="164"/>
      <c r="F8" s="218"/>
    </row>
    <row r="9" spans="1:6" ht="153.55000000000001" customHeight="1" thickBot="1" x14ac:dyDescent="0.35">
      <c r="A9" s="221"/>
      <c r="B9" s="49" t="s">
        <v>60</v>
      </c>
      <c r="C9" s="223"/>
      <c r="D9" s="225"/>
      <c r="E9" s="226"/>
      <c r="F9" s="224"/>
    </row>
    <row r="10" spans="1:6" ht="14.25" customHeight="1" thickBot="1" x14ac:dyDescent="0.35">
      <c r="A10" s="221" t="s">
        <v>11</v>
      </c>
      <c r="B10" s="46" t="s">
        <v>42</v>
      </c>
      <c r="C10" s="194" t="s">
        <v>61</v>
      </c>
      <c r="D10" s="51"/>
      <c r="E10" s="52" t="s">
        <v>107</v>
      </c>
      <c r="F10" s="194" t="s">
        <v>62</v>
      </c>
    </row>
    <row r="11" spans="1:6" ht="30.75" customHeight="1" thickBot="1" x14ac:dyDescent="0.35">
      <c r="A11" s="221"/>
      <c r="B11" s="126" t="s">
        <v>63</v>
      </c>
      <c r="C11" s="195"/>
      <c r="D11" s="225"/>
      <c r="E11" s="228"/>
      <c r="F11" s="195"/>
    </row>
    <row r="12" spans="1:6" ht="15" customHeight="1" thickBot="1" x14ac:dyDescent="0.35">
      <c r="A12" s="221"/>
      <c r="B12" s="46" t="s">
        <v>65</v>
      </c>
      <c r="C12" s="222" t="s">
        <v>59</v>
      </c>
      <c r="D12" s="51"/>
      <c r="E12" s="52" t="s">
        <v>110</v>
      </c>
      <c r="F12" s="196"/>
    </row>
    <row r="13" spans="1:6" ht="166.3" customHeight="1" thickBot="1" x14ac:dyDescent="0.35">
      <c r="A13" s="221"/>
      <c r="B13" s="49" t="s">
        <v>66</v>
      </c>
      <c r="C13" s="223"/>
      <c r="D13" s="225"/>
      <c r="E13" s="228"/>
      <c r="F13" s="224"/>
    </row>
    <row r="14" spans="1:6" ht="15" customHeight="1" thickBot="1" x14ac:dyDescent="0.35">
      <c r="A14" s="211" t="s">
        <v>21</v>
      </c>
      <c r="B14" s="46" t="s">
        <v>47</v>
      </c>
      <c r="C14" s="194" t="s">
        <v>67</v>
      </c>
      <c r="D14" s="51"/>
      <c r="E14" s="52" t="s">
        <v>119</v>
      </c>
      <c r="F14" s="194" t="s">
        <v>67</v>
      </c>
    </row>
    <row r="15" spans="1:6" ht="54.75" customHeight="1" thickBot="1" x14ac:dyDescent="0.35">
      <c r="A15" s="212"/>
      <c r="B15" s="227" t="s">
        <v>68</v>
      </c>
      <c r="C15" s="214"/>
      <c r="D15" s="225"/>
      <c r="E15" s="228"/>
      <c r="F15" s="214"/>
    </row>
    <row r="16" spans="1:6" ht="14.25" hidden="1" customHeight="1" thickBot="1" x14ac:dyDescent="0.35">
      <c r="A16" s="212"/>
      <c r="B16" s="227"/>
      <c r="C16" s="53"/>
      <c r="D16" s="55"/>
      <c r="E16" s="56"/>
      <c r="F16" s="57"/>
    </row>
    <row r="17" spans="1:6" ht="15" customHeight="1" thickBot="1" x14ac:dyDescent="0.35">
      <c r="A17" s="212"/>
      <c r="B17" s="46" t="s">
        <v>28</v>
      </c>
      <c r="C17" s="222" t="s">
        <v>59</v>
      </c>
      <c r="D17" s="58">
        <v>0.2</v>
      </c>
      <c r="E17" s="145"/>
      <c r="F17" s="218"/>
    </row>
    <row r="18" spans="1:6" ht="170.8" customHeight="1" thickBot="1" x14ac:dyDescent="0.35">
      <c r="A18" s="212"/>
      <c r="B18" s="49" t="s">
        <v>69</v>
      </c>
      <c r="C18" s="223"/>
      <c r="D18" s="225"/>
      <c r="E18" s="226"/>
      <c r="F18" s="224"/>
    </row>
    <row r="19" spans="1:6" ht="14.6" thickBot="1" x14ac:dyDescent="0.35">
      <c r="A19" s="212"/>
      <c r="B19" s="46" t="s">
        <v>31</v>
      </c>
      <c r="C19" s="222" t="s">
        <v>59</v>
      </c>
      <c r="D19" s="58">
        <v>0.05</v>
      </c>
      <c r="E19" s="145"/>
      <c r="F19" s="218"/>
    </row>
    <row r="20" spans="1:6" ht="153.75" customHeight="1" thickBot="1" x14ac:dyDescent="0.35">
      <c r="A20" s="212"/>
      <c r="B20" s="59" t="s">
        <v>70</v>
      </c>
      <c r="C20" s="238"/>
      <c r="D20" s="165"/>
      <c r="E20" s="166"/>
      <c r="F20" s="224"/>
    </row>
    <row r="21" spans="1:6" ht="14.6" thickBot="1" x14ac:dyDescent="0.35">
      <c r="A21" s="212"/>
      <c r="B21" s="60" t="s">
        <v>36</v>
      </c>
      <c r="C21" s="61"/>
      <c r="D21" s="159"/>
      <c r="E21" s="166"/>
      <c r="F21" s="62"/>
    </row>
    <row r="22" spans="1:6" ht="28.75" thickBot="1" x14ac:dyDescent="0.35">
      <c r="A22" s="212"/>
      <c r="B22" s="63" t="s">
        <v>71</v>
      </c>
      <c r="C22" s="169" t="s">
        <v>72</v>
      </c>
      <c r="D22" s="170"/>
      <c r="E22" s="166"/>
      <c r="F22" s="125" t="s">
        <v>72</v>
      </c>
    </row>
    <row r="23" spans="1:6" ht="53.05" customHeight="1" thickBot="1" x14ac:dyDescent="0.35">
      <c r="A23" s="212"/>
      <c r="B23" s="65" t="s">
        <v>35</v>
      </c>
      <c r="C23" s="66" t="s">
        <v>73</v>
      </c>
      <c r="D23" s="148">
        <v>0.03</v>
      </c>
      <c r="E23" s="166"/>
      <c r="F23" s="68" t="s">
        <v>74</v>
      </c>
    </row>
    <row r="24" spans="1:6" ht="84" customHeight="1" thickBot="1" x14ac:dyDescent="0.35">
      <c r="A24" s="212"/>
      <c r="B24" s="65" t="s">
        <v>36</v>
      </c>
      <c r="C24" s="69" t="s">
        <v>75</v>
      </c>
      <c r="D24" s="149">
        <v>0.17</v>
      </c>
      <c r="E24" s="166"/>
      <c r="F24" s="68" t="s">
        <v>74</v>
      </c>
    </row>
    <row r="25" spans="1:6" ht="17.25" customHeight="1" thickBot="1" x14ac:dyDescent="0.35">
      <c r="A25" s="221" t="s">
        <v>37</v>
      </c>
      <c r="B25" s="46" t="s">
        <v>38</v>
      </c>
      <c r="C25" s="222" t="s">
        <v>59</v>
      </c>
      <c r="D25" s="58">
        <v>0.05</v>
      </c>
      <c r="E25" s="166"/>
      <c r="F25" s="215"/>
    </row>
    <row r="26" spans="1:6" ht="145.5" customHeight="1" thickBot="1" x14ac:dyDescent="0.35">
      <c r="A26" s="221"/>
      <c r="B26" s="126" t="s">
        <v>76</v>
      </c>
      <c r="C26" s="238"/>
      <c r="D26" s="165"/>
      <c r="E26" s="166"/>
      <c r="F26" s="229"/>
    </row>
    <row r="27" spans="1:6" ht="15" customHeight="1" thickBot="1" x14ac:dyDescent="0.35">
      <c r="A27" s="221"/>
      <c r="B27" s="46" t="s">
        <v>77</v>
      </c>
      <c r="C27" s="230" t="s">
        <v>59</v>
      </c>
      <c r="D27" s="70">
        <v>0.05</v>
      </c>
      <c r="E27" s="166"/>
      <c r="F27" s="233"/>
    </row>
    <row r="28" spans="1:6" ht="15" customHeight="1" thickBot="1" x14ac:dyDescent="0.35">
      <c r="A28" s="221"/>
      <c r="B28" s="236" t="s">
        <v>78</v>
      </c>
      <c r="C28" s="231"/>
      <c r="D28" s="165"/>
      <c r="E28" s="166"/>
      <c r="F28" s="234"/>
    </row>
    <row r="29" spans="1:6" ht="100.5" customHeight="1" thickBot="1" x14ac:dyDescent="0.35">
      <c r="A29" s="221"/>
      <c r="B29" s="237"/>
      <c r="C29" s="232"/>
      <c r="D29" s="168"/>
      <c r="E29" s="172"/>
      <c r="F29" s="235"/>
    </row>
    <row r="30" spans="1:6" ht="14.6" thickBot="1" x14ac:dyDescent="0.35">
      <c r="A30" s="71"/>
      <c r="B30" s="72"/>
      <c r="C30" s="3"/>
      <c r="D30" s="73">
        <f>+SUM(D27,D25,D19,D17,D14,D12,D10,D8,D23,D24)</f>
        <v>0.65000000000000013</v>
      </c>
      <c r="E30" s="171"/>
      <c r="F30" s="74"/>
    </row>
    <row r="31" spans="1:6" s="76" customFormat="1" ht="39.450000000000003" customHeight="1" x14ac:dyDescent="0.3">
      <c r="A31" s="75"/>
      <c r="C31" s="77"/>
      <c r="D31" s="193" t="str">
        <f>IF(D30 &lt;&gt; 100%, "SUM MUST EQUAL 100%", " ")</f>
        <v>SUM MUST EQUAL 100%</v>
      </c>
      <c r="E31" s="78"/>
      <c r="F31" s="79"/>
    </row>
    <row r="32" spans="1:6" ht="15.45" x14ac:dyDescent="0.35">
      <c r="A32" s="80"/>
    </row>
    <row r="33" spans="1:3" ht="17.600000000000001" x14ac:dyDescent="0.4">
      <c r="A33" s="207" t="s">
        <v>79</v>
      </c>
      <c r="B33" s="208"/>
    </row>
    <row r="34" spans="1:3" ht="87" x14ac:dyDescent="0.35">
      <c r="A34" s="81" t="s">
        <v>80</v>
      </c>
      <c r="B34" s="81" t="s">
        <v>81</v>
      </c>
      <c r="C34" s="82" t="s">
        <v>82</v>
      </c>
    </row>
    <row r="35" spans="1:3" ht="62.15" x14ac:dyDescent="0.35">
      <c r="A35" s="81" t="s">
        <v>83</v>
      </c>
      <c r="B35" s="81" t="s">
        <v>84</v>
      </c>
      <c r="C35" s="82" t="s">
        <v>85</v>
      </c>
    </row>
    <row r="36" spans="1:3" ht="61.3" customHeight="1" x14ac:dyDescent="0.35">
      <c r="A36" s="81" t="s">
        <v>86</v>
      </c>
      <c r="B36" s="81" t="s">
        <v>87</v>
      </c>
      <c r="C36" s="82" t="s">
        <v>88</v>
      </c>
    </row>
    <row r="37" spans="1:3" ht="49.75" x14ac:dyDescent="0.35">
      <c r="A37" s="81" t="s">
        <v>89</v>
      </c>
      <c r="B37" s="81" t="s">
        <v>90</v>
      </c>
      <c r="C37" s="82" t="s">
        <v>91</v>
      </c>
    </row>
    <row r="38" spans="1:3" ht="57.55" customHeight="1" x14ac:dyDescent="0.35">
      <c r="A38" s="81" t="s">
        <v>92</v>
      </c>
      <c r="B38" s="81" t="s">
        <v>93</v>
      </c>
      <c r="C38" s="82" t="s">
        <v>94</v>
      </c>
    </row>
    <row r="40" spans="1:3" x14ac:dyDescent="0.35">
      <c r="A40" s="83" t="s">
        <v>95</v>
      </c>
    </row>
  </sheetData>
  <mergeCells count="30">
    <mergeCell ref="A33:B33"/>
    <mergeCell ref="A25:A29"/>
    <mergeCell ref="C25:C26"/>
    <mergeCell ref="A14:A24"/>
    <mergeCell ref="C14:C15"/>
    <mergeCell ref="C19:C20"/>
    <mergeCell ref="F25:F26"/>
    <mergeCell ref="C27:C29"/>
    <mergeCell ref="F27:F29"/>
    <mergeCell ref="B28:B29"/>
    <mergeCell ref="F19:F20"/>
    <mergeCell ref="A10:A13"/>
    <mergeCell ref="C10:C11"/>
    <mergeCell ref="F10:F11"/>
    <mergeCell ref="D11:E11"/>
    <mergeCell ref="C12:C13"/>
    <mergeCell ref="F12:F13"/>
    <mergeCell ref="D13:E13"/>
    <mergeCell ref="F14:F15"/>
    <mergeCell ref="B15:B16"/>
    <mergeCell ref="D15:E15"/>
    <mergeCell ref="C17:C18"/>
    <mergeCell ref="F17:F18"/>
    <mergeCell ref="D18:E18"/>
    <mergeCell ref="B6:B7"/>
    <mergeCell ref="C6:C7"/>
    <mergeCell ref="A8:A9"/>
    <mergeCell ref="C8:C9"/>
    <mergeCell ref="F8:F9"/>
    <mergeCell ref="D9:E9"/>
  </mergeCells>
  <pageMargins left="0.7" right="0.7" top="0.75" bottom="0.75" header="0.3" footer="0.3"/>
  <drawing r:id="rId1"/>
  <extLst>
    <ext xmlns:x14="http://schemas.microsoft.com/office/spreadsheetml/2009/9/main" uri="{CCE6A557-97BC-4b89-ADB6-D9C93CAAB3DF}">
      <x14:dataValidations xmlns:xm="http://schemas.microsoft.com/office/excel/2006/main" count="3">
        <x14:dataValidation type="list" allowBlank="1" showInputMessage="1" showErrorMessage="1" xr:uid="{E9399A1C-1AC9-451C-9675-524FCC4C14B3}">
          <x14:formula1>
            <xm:f>Weightings!$K$2:$K$6</xm:f>
          </x14:formula1>
          <xm:sqref>D10</xm:sqref>
        </x14:dataValidation>
        <x14:dataValidation type="list" allowBlank="1" showInputMessage="1" showErrorMessage="1" xr:uid="{5B5DA266-E462-4C15-AC29-B43545D8133B}">
          <x14:formula1>
            <xm:f>Weightings!$K$2:$K$11</xm:f>
          </x14:formula1>
          <xm:sqref>D12</xm:sqref>
        </x14:dataValidation>
        <x14:dataValidation type="list" allowBlank="1" showInputMessage="1" showErrorMessage="1" xr:uid="{FB25E374-9F63-4729-8454-FD4CCAF36032}">
          <x14:formula1>
            <xm:f>Weightings!$K$21:$K$31</xm:f>
          </x14:formula1>
          <xm:sqref>D14</xm:sqref>
        </x14:dataValidation>
      </x14:dataValidations>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C40B64A-D100-4554-81C1-07AA53D311EF}">
  <sheetPr codeName="Sheet6"/>
  <dimension ref="A1:F40"/>
  <sheetViews>
    <sheetView topLeftCell="A23" workbookViewId="0">
      <selection activeCell="D31" sqref="D31"/>
    </sheetView>
  </sheetViews>
  <sheetFormatPr defaultColWidth="9.15234375" defaultRowHeight="14.15" x14ac:dyDescent="0.35"/>
  <cols>
    <col min="1" max="1" width="17" style="26" customWidth="1"/>
    <col min="2" max="2" width="79" style="6" customWidth="1"/>
    <col min="3" max="3" width="73.53515625" style="6" customWidth="1"/>
    <col min="4" max="4" width="16.4609375" style="37" customWidth="1"/>
    <col min="5" max="5" width="18.4609375" style="34" customWidth="1"/>
    <col min="6" max="6" width="81.69140625" style="39" customWidth="1"/>
    <col min="7" max="16384" width="9.15234375" style="26"/>
  </cols>
  <sheetData>
    <row r="1" spans="1:6" ht="15.45" x14ac:dyDescent="0.35">
      <c r="A1" s="155" t="s">
        <v>53</v>
      </c>
      <c r="B1" s="153"/>
      <c r="D1" s="33"/>
      <c r="F1" s="35"/>
    </row>
    <row r="2" spans="1:6" ht="15.45" x14ac:dyDescent="0.35">
      <c r="A2" s="155" t="s">
        <v>54</v>
      </c>
      <c r="B2" s="153"/>
      <c r="D2" s="33"/>
      <c r="F2" s="35"/>
    </row>
    <row r="3" spans="1:6" ht="15.45" x14ac:dyDescent="0.4">
      <c r="A3" s="154" t="s">
        <v>113</v>
      </c>
      <c r="B3" s="156" t="s">
        <v>118</v>
      </c>
      <c r="C3" s="36"/>
      <c r="F3" s="35"/>
    </row>
    <row r="4" spans="1:6" x14ac:dyDescent="0.35">
      <c r="A4" s="6"/>
      <c r="B4" s="36"/>
      <c r="C4" s="36"/>
      <c r="D4" s="33"/>
      <c r="E4" s="38"/>
      <c r="F4" s="35"/>
    </row>
    <row r="5" spans="1:6" x14ac:dyDescent="0.35">
      <c r="B5" s="36"/>
      <c r="D5" s="134">
        <f>B1</f>
        <v>0</v>
      </c>
    </row>
    <row r="6" spans="1:6" x14ac:dyDescent="0.3">
      <c r="A6" s="40"/>
      <c r="B6" s="203" t="s">
        <v>5</v>
      </c>
      <c r="C6" s="220" t="s">
        <v>55</v>
      </c>
      <c r="D6" s="41" t="s">
        <v>56</v>
      </c>
      <c r="E6" s="42" t="s">
        <v>109</v>
      </c>
      <c r="F6" s="43" t="s">
        <v>57</v>
      </c>
    </row>
    <row r="7" spans="1:6" ht="14.6" thickBot="1" x14ac:dyDescent="0.35">
      <c r="A7" s="44"/>
      <c r="B7" s="203"/>
      <c r="C7" s="204"/>
      <c r="D7" s="177" t="s">
        <v>58</v>
      </c>
      <c r="E7" s="178"/>
      <c r="F7" s="162"/>
    </row>
    <row r="8" spans="1:6" ht="15" customHeight="1" thickBot="1" x14ac:dyDescent="0.35">
      <c r="A8" s="221" t="s">
        <v>9</v>
      </c>
      <c r="B8" s="46" t="s">
        <v>10</v>
      </c>
      <c r="C8" s="222" t="s">
        <v>59</v>
      </c>
      <c r="D8" s="47">
        <v>0.1</v>
      </c>
      <c r="E8" s="176"/>
      <c r="F8" s="196"/>
    </row>
    <row r="9" spans="1:6" ht="153.55000000000001" customHeight="1" thickBot="1" x14ac:dyDescent="0.35">
      <c r="A9" s="221"/>
      <c r="B9" s="49" t="s">
        <v>60</v>
      </c>
      <c r="C9" s="223"/>
      <c r="D9" s="173"/>
      <c r="E9" s="176"/>
      <c r="F9" s="239"/>
    </row>
    <row r="10" spans="1:6" ht="14.25" customHeight="1" thickBot="1" x14ac:dyDescent="0.35">
      <c r="A10" s="221" t="s">
        <v>11</v>
      </c>
      <c r="B10" s="46" t="s">
        <v>42</v>
      </c>
      <c r="C10" s="194" t="s">
        <v>61</v>
      </c>
      <c r="D10" s="51"/>
      <c r="E10" s="175"/>
      <c r="F10" s="194" t="s">
        <v>62</v>
      </c>
    </row>
    <row r="11" spans="1:6" ht="30.75" customHeight="1" thickBot="1" x14ac:dyDescent="0.35">
      <c r="A11" s="221"/>
      <c r="B11" s="126" t="s">
        <v>63</v>
      </c>
      <c r="C11" s="195"/>
      <c r="D11" s="173" t="s">
        <v>64</v>
      </c>
      <c r="E11" s="167"/>
      <c r="F11" s="195"/>
    </row>
    <row r="12" spans="1:6" ht="15" customHeight="1" thickBot="1" x14ac:dyDescent="0.35">
      <c r="A12" s="221"/>
      <c r="B12" s="46" t="s">
        <v>65</v>
      </c>
      <c r="C12" s="222" t="s">
        <v>59</v>
      </c>
      <c r="D12" s="51"/>
      <c r="E12" s="48"/>
      <c r="F12" s="196"/>
    </row>
    <row r="13" spans="1:6" ht="166.3" customHeight="1" thickBot="1" x14ac:dyDescent="0.35">
      <c r="A13" s="221"/>
      <c r="B13" s="49" t="s">
        <v>66</v>
      </c>
      <c r="C13" s="223"/>
      <c r="D13" s="173"/>
      <c r="E13" s="167"/>
      <c r="F13" s="224"/>
    </row>
    <row r="14" spans="1:6" ht="15" customHeight="1" thickBot="1" x14ac:dyDescent="0.35">
      <c r="A14" s="211" t="s">
        <v>21</v>
      </c>
      <c r="B14" s="46" t="s">
        <v>47</v>
      </c>
      <c r="C14" s="194" t="s">
        <v>67</v>
      </c>
      <c r="D14" s="51"/>
      <c r="E14" s="48"/>
      <c r="F14" s="194" t="s">
        <v>67</v>
      </c>
    </row>
    <row r="15" spans="1:6" ht="54.75" customHeight="1" thickBot="1" x14ac:dyDescent="0.35">
      <c r="A15" s="212"/>
      <c r="B15" s="227" t="s">
        <v>68</v>
      </c>
      <c r="C15" s="214"/>
      <c r="D15" s="173"/>
      <c r="E15" s="167"/>
      <c r="F15" s="214"/>
    </row>
    <row r="16" spans="1:6" ht="14.25" hidden="1" customHeight="1" thickBot="1" x14ac:dyDescent="0.35">
      <c r="A16" s="212"/>
      <c r="B16" s="227"/>
      <c r="C16" s="53"/>
      <c r="D16" s="54"/>
      <c r="E16" s="56"/>
      <c r="F16" s="57"/>
    </row>
    <row r="17" spans="1:6" ht="15" customHeight="1" thickBot="1" x14ac:dyDescent="0.35">
      <c r="A17" s="212"/>
      <c r="B17" s="46" t="s">
        <v>28</v>
      </c>
      <c r="C17" s="222" t="s">
        <v>59</v>
      </c>
      <c r="D17" s="51"/>
      <c r="E17" s="48"/>
      <c r="F17" s="196"/>
    </row>
    <row r="18" spans="1:6" ht="170.8" customHeight="1" thickBot="1" x14ac:dyDescent="0.35">
      <c r="A18" s="212"/>
      <c r="B18" s="49" t="s">
        <v>69</v>
      </c>
      <c r="C18" s="223"/>
      <c r="D18" s="173" t="s">
        <v>64</v>
      </c>
      <c r="E18" s="176"/>
      <c r="F18" s="224"/>
    </row>
    <row r="19" spans="1:6" ht="14.6" thickBot="1" x14ac:dyDescent="0.35">
      <c r="A19" s="212"/>
      <c r="B19" s="46" t="s">
        <v>31</v>
      </c>
      <c r="C19" s="222" t="s">
        <v>59</v>
      </c>
      <c r="D19" s="58">
        <v>0.02</v>
      </c>
      <c r="E19" s="176"/>
      <c r="F19" s="196"/>
    </row>
    <row r="20" spans="1:6" ht="153.75" customHeight="1" thickBot="1" x14ac:dyDescent="0.35">
      <c r="A20" s="212"/>
      <c r="B20" s="59" t="s">
        <v>70</v>
      </c>
      <c r="C20" s="238"/>
      <c r="D20" s="173" t="s">
        <v>64</v>
      </c>
      <c r="E20" s="176"/>
      <c r="F20" s="224"/>
    </row>
    <row r="21" spans="1:6" ht="14.6" thickBot="1" x14ac:dyDescent="0.35">
      <c r="A21" s="212"/>
      <c r="B21" s="60" t="s">
        <v>36</v>
      </c>
      <c r="C21" s="61"/>
      <c r="D21" s="159"/>
      <c r="E21" s="176"/>
      <c r="F21" s="62"/>
    </row>
    <row r="22" spans="1:6" ht="28.75" thickBot="1" x14ac:dyDescent="0.35">
      <c r="A22" s="212"/>
      <c r="B22" s="63" t="s">
        <v>71</v>
      </c>
      <c r="C22" s="64" t="s">
        <v>72</v>
      </c>
      <c r="D22" s="179"/>
      <c r="E22" s="176"/>
      <c r="F22" s="125" t="s">
        <v>72</v>
      </c>
    </row>
    <row r="23" spans="1:6" ht="53.05" customHeight="1" thickBot="1" x14ac:dyDescent="0.35">
      <c r="A23" s="212"/>
      <c r="B23" s="65" t="s">
        <v>35</v>
      </c>
      <c r="C23" s="66" t="s">
        <v>73</v>
      </c>
      <c r="D23" s="67">
        <v>0.03</v>
      </c>
      <c r="E23" s="176"/>
      <c r="F23" s="68" t="s">
        <v>74</v>
      </c>
    </row>
    <row r="24" spans="1:6" ht="84" customHeight="1" thickBot="1" x14ac:dyDescent="0.35">
      <c r="A24" s="212"/>
      <c r="B24" s="65" t="s">
        <v>36</v>
      </c>
      <c r="C24" s="69" t="s">
        <v>75</v>
      </c>
      <c r="D24" s="67">
        <v>0.1</v>
      </c>
      <c r="E24" s="176"/>
      <c r="F24" s="68" t="s">
        <v>74</v>
      </c>
    </row>
    <row r="25" spans="1:6" ht="17.25" customHeight="1" thickBot="1" x14ac:dyDescent="0.35">
      <c r="A25" s="221" t="s">
        <v>37</v>
      </c>
      <c r="B25" s="46" t="s">
        <v>38</v>
      </c>
      <c r="C25" s="222" t="s">
        <v>59</v>
      </c>
      <c r="D25" s="47">
        <v>0.05</v>
      </c>
      <c r="E25" s="176"/>
      <c r="F25" s="215"/>
    </row>
    <row r="26" spans="1:6" ht="145.5" customHeight="1" thickBot="1" x14ac:dyDescent="0.35">
      <c r="A26" s="221"/>
      <c r="B26" s="126" t="s">
        <v>76</v>
      </c>
      <c r="C26" s="238"/>
      <c r="D26" s="173" t="s">
        <v>64</v>
      </c>
      <c r="E26" s="176"/>
      <c r="F26" s="229"/>
    </row>
    <row r="27" spans="1:6" ht="15" customHeight="1" thickBot="1" x14ac:dyDescent="0.35">
      <c r="A27" s="221"/>
      <c r="B27" s="46" t="s">
        <v>77</v>
      </c>
      <c r="C27" s="230" t="s">
        <v>59</v>
      </c>
      <c r="D27" s="58">
        <v>0.05</v>
      </c>
      <c r="E27" s="176"/>
      <c r="F27" s="233"/>
    </row>
    <row r="28" spans="1:6" ht="15" customHeight="1" thickBot="1" x14ac:dyDescent="0.35">
      <c r="A28" s="221"/>
      <c r="B28" s="236" t="s">
        <v>78</v>
      </c>
      <c r="C28" s="231"/>
      <c r="D28" s="173" t="s">
        <v>64</v>
      </c>
      <c r="E28" s="176"/>
      <c r="F28" s="234"/>
    </row>
    <row r="29" spans="1:6" ht="100.5" customHeight="1" thickBot="1" x14ac:dyDescent="0.35">
      <c r="A29" s="221"/>
      <c r="B29" s="237"/>
      <c r="C29" s="232"/>
      <c r="D29" s="174"/>
      <c r="E29" s="172"/>
      <c r="F29" s="235"/>
    </row>
    <row r="30" spans="1:6" ht="14.6" thickBot="1" x14ac:dyDescent="0.35">
      <c r="A30" s="71"/>
      <c r="B30" s="72"/>
      <c r="C30" s="3"/>
      <c r="D30" s="130">
        <f>+SUM(D27,D25,D19,D17,D14,D12,D10,D8,D23,D24)</f>
        <v>0.35</v>
      </c>
      <c r="E30" s="171"/>
      <c r="F30" s="74"/>
    </row>
    <row r="31" spans="1:6" s="76" customFormat="1" ht="41.15" customHeight="1" x14ac:dyDescent="0.3">
      <c r="A31" s="75"/>
      <c r="C31" s="77"/>
      <c r="D31" s="193" t="str">
        <f>IF(D30 &lt;&gt; 100%, "SUM MUST EQUAL 100%", " ")</f>
        <v>SUM MUST EQUAL 100%</v>
      </c>
      <c r="E31" s="78"/>
      <c r="F31" s="79"/>
    </row>
    <row r="32" spans="1:6" ht="15.45" x14ac:dyDescent="0.35">
      <c r="A32" s="80"/>
    </row>
    <row r="33" spans="1:3" ht="17.600000000000001" x14ac:dyDescent="0.4">
      <c r="A33" s="207" t="s">
        <v>79</v>
      </c>
      <c r="B33" s="208"/>
    </row>
    <row r="34" spans="1:3" ht="87" x14ac:dyDescent="0.35">
      <c r="A34" s="81" t="s">
        <v>80</v>
      </c>
      <c r="B34" s="81" t="s">
        <v>81</v>
      </c>
      <c r="C34" s="82" t="s">
        <v>82</v>
      </c>
    </row>
    <row r="35" spans="1:3" ht="62.15" x14ac:dyDescent="0.35">
      <c r="A35" s="81" t="s">
        <v>83</v>
      </c>
      <c r="B35" s="81" t="s">
        <v>84</v>
      </c>
      <c r="C35" s="82" t="s">
        <v>85</v>
      </c>
    </row>
    <row r="36" spans="1:3" ht="61.3" customHeight="1" x14ac:dyDescent="0.35">
      <c r="A36" s="81" t="s">
        <v>86</v>
      </c>
      <c r="B36" s="81" t="s">
        <v>87</v>
      </c>
      <c r="C36" s="82" t="s">
        <v>88</v>
      </c>
    </row>
    <row r="37" spans="1:3" ht="49.75" x14ac:dyDescent="0.35">
      <c r="A37" s="81" t="s">
        <v>89</v>
      </c>
      <c r="B37" s="81" t="s">
        <v>90</v>
      </c>
      <c r="C37" s="82" t="s">
        <v>91</v>
      </c>
    </row>
    <row r="38" spans="1:3" ht="57.55" customHeight="1" x14ac:dyDescent="0.35">
      <c r="A38" s="81" t="s">
        <v>92</v>
      </c>
      <c r="B38" s="81" t="s">
        <v>93</v>
      </c>
      <c r="C38" s="82" t="s">
        <v>94</v>
      </c>
    </row>
    <row r="40" spans="1:3" x14ac:dyDescent="0.35">
      <c r="A40" s="83" t="s">
        <v>95</v>
      </c>
    </row>
  </sheetData>
  <mergeCells count="25">
    <mergeCell ref="B6:B7"/>
    <mergeCell ref="C6:C7"/>
    <mergeCell ref="A8:A9"/>
    <mergeCell ref="C8:C9"/>
    <mergeCell ref="F8:F9"/>
    <mergeCell ref="F19:F20"/>
    <mergeCell ref="A10:A13"/>
    <mergeCell ref="C10:C11"/>
    <mergeCell ref="F10:F11"/>
    <mergeCell ref="C12:C13"/>
    <mergeCell ref="F12:F13"/>
    <mergeCell ref="F14:F15"/>
    <mergeCell ref="B15:B16"/>
    <mergeCell ref="C17:C18"/>
    <mergeCell ref="F17:F18"/>
    <mergeCell ref="A14:A24"/>
    <mergeCell ref="C14:C15"/>
    <mergeCell ref="C19:C20"/>
    <mergeCell ref="F25:F26"/>
    <mergeCell ref="C27:C29"/>
    <mergeCell ref="F27:F29"/>
    <mergeCell ref="B28:B29"/>
    <mergeCell ref="A33:B33"/>
    <mergeCell ref="A25:A29"/>
    <mergeCell ref="C25:C26"/>
  </mergeCells>
  <pageMargins left="0.7" right="0.7" top="0.75" bottom="0.75" header="0.3" footer="0.3"/>
  <drawing r:id="rId1"/>
  <extLst>
    <ext xmlns:x14="http://schemas.microsoft.com/office/spreadsheetml/2009/9/main" uri="{CCE6A557-97BC-4b89-ADB6-D9C93CAAB3DF}">
      <x14:dataValidations xmlns:xm="http://schemas.microsoft.com/office/excel/2006/main" count="4">
        <x14:dataValidation type="list" allowBlank="1" showInputMessage="1" showErrorMessage="1" xr:uid="{A224921F-FBF3-4AD0-8322-4A9180BFC67F}">
          <x14:formula1>
            <xm:f>Weightings!$K$6:$K$11</xm:f>
          </x14:formula1>
          <xm:sqref>D17</xm:sqref>
        </x14:dataValidation>
        <x14:dataValidation type="list" allowBlank="1" showInputMessage="1" showErrorMessage="1" xr:uid="{18DF412B-B019-4805-8039-F847B7831B05}">
          <x14:formula1>
            <xm:f>Weightings!$K$21:$K$31</xm:f>
          </x14:formula1>
          <xm:sqref>D10</xm:sqref>
        </x14:dataValidation>
        <x14:dataValidation type="list" allowBlank="1" showInputMessage="1" showErrorMessage="1" xr:uid="{BF8243E9-B850-4B7D-B9BB-BB567443157D}">
          <x14:formula1>
            <xm:f>Weightings!$K$11:$K$21</xm:f>
          </x14:formula1>
          <xm:sqref>D12</xm:sqref>
        </x14:dataValidation>
        <x14:dataValidation type="list" allowBlank="1" showInputMessage="1" showErrorMessage="1" xr:uid="{1FEAFF40-F4CC-431E-9E46-7C8DC219BA14}">
          <x14:formula1>
            <xm:f>Weightings!$K$16:$K$21</xm:f>
          </x14:formula1>
          <xm:sqref>D14</xm:sqref>
        </x14:dataValidation>
      </x14:dataValidations>
    </ext>
  </extLs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34CB8E8-91A4-4A45-87A1-AE217A03751C}">
  <sheetPr codeName="Sheet7"/>
  <dimension ref="A1:F40"/>
  <sheetViews>
    <sheetView topLeftCell="A23" workbookViewId="0">
      <selection activeCell="D31" sqref="D31"/>
    </sheetView>
  </sheetViews>
  <sheetFormatPr defaultColWidth="9.15234375" defaultRowHeight="14.15" x14ac:dyDescent="0.35"/>
  <cols>
    <col min="1" max="1" width="17" style="26" customWidth="1"/>
    <col min="2" max="2" width="79" style="6" customWidth="1"/>
    <col min="3" max="3" width="73.53515625" style="6" customWidth="1"/>
    <col min="4" max="4" width="16.4609375" style="37" customWidth="1"/>
    <col min="5" max="5" width="18.4609375" style="34" customWidth="1"/>
    <col min="6" max="6" width="81.69140625" style="39" customWidth="1"/>
    <col min="7" max="16384" width="9.15234375" style="26"/>
  </cols>
  <sheetData>
    <row r="1" spans="1:6" ht="15.45" x14ac:dyDescent="0.35">
      <c r="A1" s="155" t="s">
        <v>53</v>
      </c>
      <c r="B1" s="153"/>
      <c r="D1" s="33"/>
      <c r="F1" s="35"/>
    </row>
    <row r="2" spans="1:6" ht="15.45" x14ac:dyDescent="0.35">
      <c r="A2" s="155" t="s">
        <v>54</v>
      </c>
      <c r="B2" s="153"/>
      <c r="D2" s="33"/>
      <c r="F2" s="35"/>
    </row>
    <row r="3" spans="1:6" ht="15.45" x14ac:dyDescent="0.4">
      <c r="A3" s="154" t="s">
        <v>113</v>
      </c>
      <c r="B3" s="156" t="s">
        <v>118</v>
      </c>
      <c r="C3" s="36"/>
      <c r="F3" s="35"/>
    </row>
    <row r="4" spans="1:6" x14ac:dyDescent="0.35">
      <c r="A4" s="6"/>
      <c r="B4" s="36"/>
      <c r="C4" s="36"/>
      <c r="D4" s="33"/>
      <c r="E4" s="38"/>
      <c r="F4" s="35"/>
    </row>
    <row r="5" spans="1:6" x14ac:dyDescent="0.35">
      <c r="B5" s="36"/>
      <c r="D5" s="134">
        <f>B1</f>
        <v>0</v>
      </c>
    </row>
    <row r="6" spans="1:6" x14ac:dyDescent="0.3">
      <c r="A6" s="40"/>
      <c r="B6" s="203" t="s">
        <v>5</v>
      </c>
      <c r="C6" s="220" t="s">
        <v>55</v>
      </c>
      <c r="D6" s="41" t="s">
        <v>56</v>
      </c>
      <c r="E6" s="42" t="s">
        <v>109</v>
      </c>
      <c r="F6" s="43" t="s">
        <v>57</v>
      </c>
    </row>
    <row r="7" spans="1:6" ht="14.6" thickBot="1" x14ac:dyDescent="0.35">
      <c r="A7" s="44"/>
      <c r="B7" s="203"/>
      <c r="C7" s="204"/>
      <c r="D7" s="45" t="s">
        <v>58</v>
      </c>
      <c r="E7" s="163"/>
      <c r="F7" s="124"/>
    </row>
    <row r="8" spans="1:6" ht="15" customHeight="1" thickBot="1" x14ac:dyDescent="0.35">
      <c r="A8" s="221" t="s">
        <v>9</v>
      </c>
      <c r="B8" s="46" t="s">
        <v>10</v>
      </c>
      <c r="C8" s="222" t="s">
        <v>59</v>
      </c>
      <c r="D8" s="187">
        <v>0.1</v>
      </c>
      <c r="E8" s="181"/>
      <c r="F8" s="196"/>
    </row>
    <row r="9" spans="1:6" ht="153.55000000000001" customHeight="1" thickBot="1" x14ac:dyDescent="0.35">
      <c r="A9" s="221"/>
      <c r="B9" s="49" t="s">
        <v>60</v>
      </c>
      <c r="C9" s="231"/>
      <c r="D9" s="176"/>
      <c r="E9" s="186"/>
      <c r="F9" s="224"/>
    </row>
    <row r="10" spans="1:6" ht="14.25" customHeight="1" thickBot="1" x14ac:dyDescent="0.35">
      <c r="A10" s="221" t="s">
        <v>11</v>
      </c>
      <c r="B10" s="46" t="s">
        <v>42</v>
      </c>
      <c r="C10" s="194" t="s">
        <v>61</v>
      </c>
      <c r="D10" s="188"/>
      <c r="E10" s="52" t="s">
        <v>97</v>
      </c>
      <c r="F10" s="194" t="s">
        <v>62</v>
      </c>
    </row>
    <row r="11" spans="1:6" ht="30.75" customHeight="1" thickBot="1" x14ac:dyDescent="0.35">
      <c r="A11" s="221"/>
      <c r="B11" s="126" t="s">
        <v>63</v>
      </c>
      <c r="C11" s="195"/>
      <c r="D11" s="173" t="s">
        <v>64</v>
      </c>
      <c r="E11" s="167"/>
      <c r="F11" s="195"/>
    </row>
    <row r="12" spans="1:6" ht="15" customHeight="1" thickBot="1" x14ac:dyDescent="0.35">
      <c r="A12" s="221"/>
      <c r="B12" s="46" t="s">
        <v>65</v>
      </c>
      <c r="C12" s="222" t="s">
        <v>59</v>
      </c>
      <c r="D12" s="50"/>
      <c r="E12" s="52" t="s">
        <v>98</v>
      </c>
      <c r="F12" s="196"/>
    </row>
    <row r="13" spans="1:6" ht="166.3" customHeight="1" thickBot="1" x14ac:dyDescent="0.35">
      <c r="A13" s="221"/>
      <c r="B13" s="49" t="s">
        <v>66</v>
      </c>
      <c r="C13" s="223"/>
      <c r="D13" s="173"/>
      <c r="E13" s="167"/>
      <c r="F13" s="224"/>
    </row>
    <row r="14" spans="1:6" ht="15" customHeight="1" thickBot="1" x14ac:dyDescent="0.35">
      <c r="A14" s="211" t="s">
        <v>21</v>
      </c>
      <c r="B14" s="46" t="s">
        <v>47</v>
      </c>
      <c r="C14" s="194" t="s">
        <v>67</v>
      </c>
      <c r="D14" s="50"/>
      <c r="E14" s="52" t="s">
        <v>99</v>
      </c>
      <c r="F14" s="194" t="s">
        <v>67</v>
      </c>
    </row>
    <row r="15" spans="1:6" ht="54.75" customHeight="1" thickBot="1" x14ac:dyDescent="0.35">
      <c r="A15" s="212"/>
      <c r="B15" s="227" t="s">
        <v>68</v>
      </c>
      <c r="C15" s="214"/>
      <c r="D15" s="173"/>
      <c r="E15" s="167"/>
      <c r="F15" s="214"/>
    </row>
    <row r="16" spans="1:6" ht="14.25" hidden="1" customHeight="1" thickBot="1" x14ac:dyDescent="0.35">
      <c r="A16" s="212"/>
      <c r="B16" s="227"/>
      <c r="C16" s="53"/>
      <c r="D16" s="54"/>
      <c r="E16" s="56"/>
      <c r="F16" s="57"/>
    </row>
    <row r="17" spans="1:6" ht="15" customHeight="1" thickBot="1" x14ac:dyDescent="0.35">
      <c r="A17" s="212"/>
      <c r="B17" s="46" t="s">
        <v>28</v>
      </c>
      <c r="C17" s="222" t="s">
        <v>59</v>
      </c>
      <c r="D17" s="50"/>
      <c r="E17" s="52" t="s">
        <v>101</v>
      </c>
      <c r="F17" s="196"/>
    </row>
    <row r="18" spans="1:6" ht="170.8" customHeight="1" thickBot="1" x14ac:dyDescent="0.35">
      <c r="A18" s="212"/>
      <c r="B18" s="49" t="s">
        <v>69</v>
      </c>
      <c r="C18" s="223"/>
      <c r="D18" s="173" t="s">
        <v>64</v>
      </c>
      <c r="E18" s="167"/>
      <c r="F18" s="224"/>
    </row>
    <row r="19" spans="1:6" ht="14.6" thickBot="1" x14ac:dyDescent="0.35">
      <c r="A19" s="212"/>
      <c r="B19" s="46" t="s">
        <v>31</v>
      </c>
      <c r="C19" s="222" t="s">
        <v>59</v>
      </c>
      <c r="D19" s="50"/>
      <c r="E19" s="52" t="s">
        <v>120</v>
      </c>
      <c r="F19" s="196"/>
    </row>
    <row r="20" spans="1:6" ht="153.75" customHeight="1" thickBot="1" x14ac:dyDescent="0.35">
      <c r="A20" s="212"/>
      <c r="B20" s="59" t="s">
        <v>70</v>
      </c>
      <c r="C20" s="238"/>
      <c r="D20" s="173" t="s">
        <v>64</v>
      </c>
      <c r="E20" s="167"/>
      <c r="F20" s="224"/>
    </row>
    <row r="21" spans="1:6" ht="14.6" thickBot="1" x14ac:dyDescent="0.35">
      <c r="A21" s="212"/>
      <c r="B21" s="60" t="s">
        <v>36</v>
      </c>
      <c r="C21" s="61"/>
      <c r="D21" s="159"/>
      <c r="E21" s="185"/>
      <c r="F21" s="182"/>
    </row>
    <row r="22" spans="1:6" ht="28.75" thickBot="1" x14ac:dyDescent="0.35">
      <c r="A22" s="212"/>
      <c r="B22" s="63" t="s">
        <v>71</v>
      </c>
      <c r="C22" s="64" t="s">
        <v>72</v>
      </c>
      <c r="D22" s="179"/>
      <c r="E22" s="183"/>
      <c r="F22" s="125" t="s">
        <v>72</v>
      </c>
    </row>
    <row r="23" spans="1:6" ht="53.05" customHeight="1" thickBot="1" x14ac:dyDescent="0.35">
      <c r="A23" s="212"/>
      <c r="B23" s="65" t="s">
        <v>35</v>
      </c>
      <c r="C23" s="66" t="s">
        <v>73</v>
      </c>
      <c r="D23" s="67">
        <v>0.03</v>
      </c>
      <c r="E23" s="185"/>
      <c r="F23" s="68" t="s">
        <v>74</v>
      </c>
    </row>
    <row r="24" spans="1:6" ht="84" customHeight="1" thickBot="1" x14ac:dyDescent="0.35">
      <c r="A24" s="212"/>
      <c r="B24" s="65" t="s">
        <v>36</v>
      </c>
      <c r="C24" s="69" t="s">
        <v>75</v>
      </c>
      <c r="D24" s="50"/>
      <c r="E24" s="93" t="s">
        <v>121</v>
      </c>
      <c r="F24" s="68" t="s">
        <v>74</v>
      </c>
    </row>
    <row r="25" spans="1:6" ht="17.25" customHeight="1" thickBot="1" x14ac:dyDescent="0.35">
      <c r="A25" s="221" t="s">
        <v>37</v>
      </c>
      <c r="B25" s="46" t="s">
        <v>38</v>
      </c>
      <c r="C25" s="222" t="s">
        <v>59</v>
      </c>
      <c r="D25" s="58">
        <v>0.05</v>
      </c>
      <c r="E25" s="176"/>
      <c r="F25" s="240"/>
    </row>
    <row r="26" spans="1:6" ht="145.5" customHeight="1" thickBot="1" x14ac:dyDescent="0.35">
      <c r="A26" s="221"/>
      <c r="B26" s="126" t="s">
        <v>76</v>
      </c>
      <c r="C26" s="238"/>
      <c r="D26" s="173" t="s">
        <v>64</v>
      </c>
      <c r="E26" s="166"/>
      <c r="F26" s="229"/>
    </row>
    <row r="27" spans="1:6" ht="15" customHeight="1" thickBot="1" x14ac:dyDescent="0.35">
      <c r="A27" s="221"/>
      <c r="B27" s="46" t="s">
        <v>77</v>
      </c>
      <c r="C27" s="230" t="s">
        <v>59</v>
      </c>
      <c r="D27" s="58">
        <v>0.05</v>
      </c>
      <c r="E27" s="184"/>
      <c r="F27" s="241"/>
    </row>
    <row r="28" spans="1:6" ht="15" customHeight="1" thickBot="1" x14ac:dyDescent="0.35">
      <c r="A28" s="221"/>
      <c r="B28" s="236" t="s">
        <v>78</v>
      </c>
      <c r="C28" s="231"/>
      <c r="D28" s="173" t="s">
        <v>64</v>
      </c>
      <c r="E28" s="166"/>
      <c r="F28" s="234"/>
    </row>
    <row r="29" spans="1:6" ht="100.5" customHeight="1" thickBot="1" x14ac:dyDescent="0.35">
      <c r="A29" s="221"/>
      <c r="B29" s="237"/>
      <c r="C29" s="232"/>
      <c r="D29" s="174"/>
      <c r="E29" s="166"/>
      <c r="F29" s="235"/>
    </row>
    <row r="30" spans="1:6" ht="14.6" thickBot="1" x14ac:dyDescent="0.35">
      <c r="A30" s="71"/>
      <c r="B30" s="72"/>
      <c r="C30" s="3"/>
      <c r="D30" s="130">
        <f>+SUM(D27,D25,D19,D17,D14,D12,D10,D8,D23,D24)</f>
        <v>0.23</v>
      </c>
      <c r="E30" s="180"/>
      <c r="F30" s="74"/>
    </row>
    <row r="31" spans="1:6" s="76" customFormat="1" ht="39" customHeight="1" x14ac:dyDescent="0.3">
      <c r="A31" s="75"/>
      <c r="B31" s="190"/>
      <c r="D31" s="193" t="str">
        <f>IF(D30 &lt;&gt; 100%, "SUM MUST EQUAL 100%", " ")</f>
        <v>SUM MUST EQUAL 100%</v>
      </c>
      <c r="E31" s="78"/>
      <c r="F31" s="79"/>
    </row>
    <row r="32" spans="1:6" ht="15.45" x14ac:dyDescent="0.35">
      <c r="A32" s="80"/>
      <c r="C32" s="191"/>
      <c r="D32" s="191"/>
    </row>
    <row r="33" spans="1:3" ht="17.600000000000001" x14ac:dyDescent="0.4">
      <c r="A33" s="207" t="s">
        <v>79</v>
      </c>
      <c r="B33" s="208"/>
    </row>
    <row r="34" spans="1:3" ht="87" x14ac:dyDescent="0.35">
      <c r="A34" s="81" t="s">
        <v>80</v>
      </c>
      <c r="B34" s="81" t="s">
        <v>81</v>
      </c>
      <c r="C34" s="82" t="s">
        <v>82</v>
      </c>
    </row>
    <row r="35" spans="1:3" ht="62.15" x14ac:dyDescent="0.35">
      <c r="A35" s="81" t="s">
        <v>83</v>
      </c>
      <c r="B35" s="81" t="s">
        <v>84</v>
      </c>
      <c r="C35" s="82" t="s">
        <v>85</v>
      </c>
    </row>
    <row r="36" spans="1:3" ht="61.3" customHeight="1" x14ac:dyDescent="0.35">
      <c r="A36" s="81" t="s">
        <v>86</v>
      </c>
      <c r="B36" s="81" t="s">
        <v>87</v>
      </c>
      <c r="C36" s="82" t="s">
        <v>88</v>
      </c>
    </row>
    <row r="37" spans="1:3" ht="49.75" x14ac:dyDescent="0.35">
      <c r="A37" s="81" t="s">
        <v>89</v>
      </c>
      <c r="B37" s="81" t="s">
        <v>90</v>
      </c>
      <c r="C37" s="82" t="s">
        <v>91</v>
      </c>
    </row>
    <row r="38" spans="1:3" ht="57.55" customHeight="1" x14ac:dyDescent="0.35">
      <c r="A38" s="81" t="s">
        <v>92</v>
      </c>
      <c r="B38" s="81" t="s">
        <v>93</v>
      </c>
      <c r="C38" s="82" t="s">
        <v>94</v>
      </c>
    </row>
    <row r="40" spans="1:3" x14ac:dyDescent="0.35">
      <c r="A40" s="83" t="s">
        <v>95</v>
      </c>
    </row>
  </sheetData>
  <mergeCells count="25">
    <mergeCell ref="B6:B7"/>
    <mergeCell ref="C6:C7"/>
    <mergeCell ref="A8:A9"/>
    <mergeCell ref="C8:C9"/>
    <mergeCell ref="F8:F9"/>
    <mergeCell ref="F19:F20"/>
    <mergeCell ref="A10:A13"/>
    <mergeCell ref="C10:C11"/>
    <mergeCell ref="F10:F11"/>
    <mergeCell ref="C12:C13"/>
    <mergeCell ref="F12:F13"/>
    <mergeCell ref="F14:F15"/>
    <mergeCell ref="B15:B16"/>
    <mergeCell ref="C17:C18"/>
    <mergeCell ref="F17:F18"/>
    <mergeCell ref="A14:A24"/>
    <mergeCell ref="C14:C15"/>
    <mergeCell ref="C19:C20"/>
    <mergeCell ref="F25:F26"/>
    <mergeCell ref="C27:C29"/>
    <mergeCell ref="F27:F29"/>
    <mergeCell ref="B28:B29"/>
    <mergeCell ref="A33:B33"/>
    <mergeCell ref="A25:A29"/>
    <mergeCell ref="C25:C26"/>
  </mergeCells>
  <pageMargins left="0.7" right="0.7" top="0.75" bottom="0.75" header="0.3" footer="0.3"/>
  <drawing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D8B2030-7D4E-4687-B5FC-1EC21570A94C}">
  <sheetPr codeName="Sheet8"/>
  <dimension ref="A1:K101"/>
  <sheetViews>
    <sheetView workbookViewId="0">
      <selection activeCell="B13" sqref="B13"/>
    </sheetView>
  </sheetViews>
  <sheetFormatPr defaultColWidth="9.15234375" defaultRowHeight="14.15" x14ac:dyDescent="0.35"/>
  <cols>
    <col min="1" max="1" width="37.53515625" style="2" customWidth="1"/>
    <col min="2" max="2" width="47.3046875" style="2" customWidth="1"/>
    <col min="3" max="5" width="13.69140625" style="2" customWidth="1"/>
    <col min="6" max="6" width="4.4609375" style="4" customWidth="1"/>
    <col min="7" max="9" width="13.69140625" style="2" customWidth="1"/>
    <col min="10" max="16384" width="9.15234375" style="2"/>
  </cols>
  <sheetData>
    <row r="1" spans="1:11" x14ac:dyDescent="0.35">
      <c r="A1" s="257" t="s">
        <v>0</v>
      </c>
      <c r="B1" s="257"/>
      <c r="C1" s="257"/>
      <c r="D1" s="257"/>
      <c r="E1" s="257"/>
      <c r="F1" s="257"/>
      <c r="G1" s="257"/>
      <c r="H1" s="257"/>
      <c r="I1" s="1"/>
      <c r="K1" s="135">
        <v>0</v>
      </c>
    </row>
    <row r="2" spans="1:11" x14ac:dyDescent="0.35">
      <c r="A2" s="3"/>
      <c r="K2" s="135">
        <v>0.01</v>
      </c>
    </row>
    <row r="3" spans="1:11" x14ac:dyDescent="0.35">
      <c r="A3" s="227" t="s">
        <v>1</v>
      </c>
      <c r="B3" s="227"/>
      <c r="C3" s="227"/>
      <c r="D3" s="227"/>
      <c r="E3" s="227"/>
      <c r="F3" s="227"/>
      <c r="G3" s="227"/>
      <c r="H3" s="227"/>
      <c r="I3" s="5"/>
      <c r="K3" s="135">
        <v>0.02</v>
      </c>
    </row>
    <row r="4" spans="1:11" x14ac:dyDescent="0.35">
      <c r="A4" s="227"/>
      <c r="B4" s="227"/>
      <c r="C4" s="227"/>
      <c r="D4" s="227"/>
      <c r="E4" s="227"/>
      <c r="F4" s="227"/>
      <c r="G4" s="227"/>
      <c r="H4" s="227"/>
      <c r="I4" s="5"/>
      <c r="K4" s="135">
        <v>0.03</v>
      </c>
    </row>
    <row r="5" spans="1:11" x14ac:dyDescent="0.35">
      <c r="A5" s="26"/>
      <c r="B5" s="6"/>
      <c r="C5" s="242" t="s">
        <v>2</v>
      </c>
      <c r="D5" s="243"/>
      <c r="E5" s="244"/>
      <c r="F5" s="7"/>
      <c r="G5" s="242" t="s">
        <v>3</v>
      </c>
      <c r="H5" s="243"/>
      <c r="I5" s="244"/>
      <c r="K5" s="135">
        <v>0.04</v>
      </c>
    </row>
    <row r="6" spans="1:11" x14ac:dyDescent="0.35">
      <c r="A6" s="220" t="s">
        <v>41</v>
      </c>
      <c r="B6" s="220" t="s">
        <v>5</v>
      </c>
      <c r="C6" s="205" t="s">
        <v>6</v>
      </c>
      <c r="D6" s="205" t="s">
        <v>7</v>
      </c>
      <c r="E6" s="205" t="s">
        <v>8</v>
      </c>
      <c r="F6" s="8"/>
      <c r="G6" s="205" t="s">
        <v>6</v>
      </c>
      <c r="H6" s="205" t="s">
        <v>7</v>
      </c>
      <c r="I6" s="205" t="s">
        <v>8</v>
      </c>
      <c r="K6" s="135">
        <v>0.05</v>
      </c>
    </row>
    <row r="7" spans="1:11" x14ac:dyDescent="0.35">
      <c r="A7" s="245"/>
      <c r="B7" s="245"/>
      <c r="C7" s="246"/>
      <c r="D7" s="246"/>
      <c r="E7" s="246"/>
      <c r="F7" s="9"/>
      <c r="G7" s="247"/>
      <c r="H7" s="247"/>
      <c r="I7" s="247"/>
      <c r="K7" s="135">
        <v>0.06</v>
      </c>
    </row>
    <row r="8" spans="1:11" x14ac:dyDescent="0.35">
      <c r="A8" s="10" t="s">
        <v>9</v>
      </c>
      <c r="B8" s="11" t="s">
        <v>10</v>
      </c>
      <c r="C8" s="12">
        <v>0.1</v>
      </c>
      <c r="D8" s="13">
        <f>C8</f>
        <v>0.1</v>
      </c>
      <c r="E8" s="14">
        <v>1</v>
      </c>
      <c r="F8" s="30"/>
      <c r="G8" s="12">
        <v>0.1</v>
      </c>
      <c r="H8" s="13">
        <v>0.1</v>
      </c>
      <c r="I8" s="14">
        <v>1</v>
      </c>
      <c r="K8" s="135">
        <v>7.0000000000000007E-2</v>
      </c>
    </row>
    <row r="9" spans="1:11" x14ac:dyDescent="0.35">
      <c r="A9" s="248" t="s">
        <v>11</v>
      </c>
      <c r="B9" s="16" t="s">
        <v>42</v>
      </c>
      <c r="C9" s="17" t="s">
        <v>29</v>
      </c>
      <c r="D9" s="254" t="s">
        <v>43</v>
      </c>
      <c r="E9" s="255" t="s">
        <v>25</v>
      </c>
      <c r="F9" s="31"/>
      <c r="G9" s="17" t="s">
        <v>44</v>
      </c>
      <c r="H9" s="254" t="s">
        <v>45</v>
      </c>
      <c r="I9" s="255" t="s">
        <v>25</v>
      </c>
      <c r="K9" s="135">
        <v>0.08</v>
      </c>
    </row>
    <row r="10" spans="1:11" x14ac:dyDescent="0.35">
      <c r="A10" s="256"/>
      <c r="B10" s="19" t="s">
        <v>18</v>
      </c>
      <c r="C10" s="17" t="s">
        <v>46</v>
      </c>
      <c r="D10" s="254"/>
      <c r="E10" s="255"/>
      <c r="F10" s="32"/>
      <c r="G10" s="17" t="s">
        <v>29</v>
      </c>
      <c r="H10" s="254"/>
      <c r="I10" s="255"/>
      <c r="K10" s="135">
        <v>0.09</v>
      </c>
    </row>
    <row r="11" spans="1:11" x14ac:dyDescent="0.35">
      <c r="A11" s="248" t="s">
        <v>21</v>
      </c>
      <c r="B11" s="19" t="s">
        <v>47</v>
      </c>
      <c r="C11" s="17" t="s">
        <v>48</v>
      </c>
      <c r="D11" s="254" t="s">
        <v>49</v>
      </c>
      <c r="E11" s="255" t="s">
        <v>15</v>
      </c>
      <c r="F11" s="18"/>
      <c r="G11" s="17" t="s">
        <v>16</v>
      </c>
      <c r="H11" s="254" t="s">
        <v>50</v>
      </c>
      <c r="I11" s="255" t="s">
        <v>15</v>
      </c>
      <c r="K11" s="135">
        <v>0.1</v>
      </c>
    </row>
    <row r="12" spans="1:11" x14ac:dyDescent="0.35">
      <c r="A12" s="249"/>
      <c r="B12" s="16" t="s">
        <v>28</v>
      </c>
      <c r="C12" s="22">
        <v>0.15</v>
      </c>
      <c r="D12" s="254"/>
      <c r="E12" s="255"/>
      <c r="F12" s="21"/>
      <c r="G12" s="22">
        <v>0.2</v>
      </c>
      <c r="H12" s="254"/>
      <c r="I12" s="255"/>
      <c r="K12" s="135">
        <v>0.11</v>
      </c>
    </row>
    <row r="13" spans="1:11" x14ac:dyDescent="0.35">
      <c r="A13" s="249"/>
      <c r="B13" s="16" t="s">
        <v>31</v>
      </c>
      <c r="C13" s="22">
        <v>0.05</v>
      </c>
      <c r="D13" s="254"/>
      <c r="E13" s="255"/>
      <c r="F13" s="21"/>
      <c r="G13" s="22">
        <v>0.05</v>
      </c>
      <c r="H13" s="254"/>
      <c r="I13" s="255"/>
      <c r="K13" s="135">
        <v>0.12</v>
      </c>
    </row>
    <row r="14" spans="1:11" x14ac:dyDescent="0.35">
      <c r="A14" s="249"/>
      <c r="B14" s="16" t="s">
        <v>32</v>
      </c>
      <c r="C14" s="17" t="s">
        <v>51</v>
      </c>
      <c r="D14" s="254"/>
      <c r="E14" s="255"/>
      <c r="F14" s="21"/>
      <c r="G14" s="17" t="s">
        <v>52</v>
      </c>
      <c r="H14" s="254"/>
      <c r="I14" s="255"/>
      <c r="K14" s="135">
        <v>0.13</v>
      </c>
    </row>
    <row r="15" spans="1:11" x14ac:dyDescent="0.35">
      <c r="A15" s="249"/>
      <c r="B15" s="23" t="s">
        <v>35</v>
      </c>
      <c r="C15" s="22">
        <v>0.03</v>
      </c>
      <c r="D15" s="254"/>
      <c r="E15" s="255"/>
      <c r="F15" s="21"/>
      <c r="G15" s="22">
        <v>0.03</v>
      </c>
      <c r="H15" s="254"/>
      <c r="I15" s="255"/>
      <c r="K15" s="135">
        <v>0.14000000000000001</v>
      </c>
    </row>
    <row r="16" spans="1:11" x14ac:dyDescent="0.35">
      <c r="A16" s="249"/>
      <c r="B16" s="23" t="s">
        <v>36</v>
      </c>
      <c r="C16" s="22">
        <v>0.12</v>
      </c>
      <c r="D16" s="254"/>
      <c r="E16" s="255"/>
      <c r="F16" s="21"/>
      <c r="G16" s="22">
        <v>0.17</v>
      </c>
      <c r="H16" s="254"/>
      <c r="I16" s="255"/>
      <c r="K16" s="135">
        <v>0.15</v>
      </c>
    </row>
    <row r="17" spans="1:11" ht="28.3" x14ac:dyDescent="0.35">
      <c r="A17" s="248" t="s">
        <v>37</v>
      </c>
      <c r="B17" s="16" t="s">
        <v>38</v>
      </c>
      <c r="C17" s="12">
        <v>0.05</v>
      </c>
      <c r="D17" s="250">
        <v>0.1</v>
      </c>
      <c r="E17" s="252" t="s">
        <v>25</v>
      </c>
      <c r="F17" s="18"/>
      <c r="G17" s="12">
        <v>0.05</v>
      </c>
      <c r="H17" s="250">
        <v>0.1</v>
      </c>
      <c r="I17" s="252" t="s">
        <v>25</v>
      </c>
      <c r="K17" s="135">
        <v>0.16</v>
      </c>
    </row>
    <row r="18" spans="1:11" ht="14.6" thickBot="1" x14ac:dyDescent="0.4">
      <c r="A18" s="249"/>
      <c r="B18" s="24" t="s">
        <v>39</v>
      </c>
      <c r="C18" s="25">
        <v>0.05</v>
      </c>
      <c r="D18" s="251"/>
      <c r="E18" s="253"/>
      <c r="F18" s="21"/>
      <c r="G18" s="25">
        <v>0.05</v>
      </c>
      <c r="H18" s="251"/>
      <c r="I18" s="253"/>
      <c r="K18" s="135">
        <v>0.17</v>
      </c>
    </row>
    <row r="19" spans="1:11" ht="14.6" thickTop="1" x14ac:dyDescent="0.35">
      <c r="A19" s="26"/>
      <c r="B19" s="27" t="s">
        <v>40</v>
      </c>
      <c r="C19" s="28">
        <v>1</v>
      </c>
      <c r="F19" s="2"/>
      <c r="G19" s="28">
        <v>1</v>
      </c>
      <c r="I19" s="29"/>
      <c r="K19" s="135">
        <v>0.18</v>
      </c>
    </row>
    <row r="20" spans="1:11" x14ac:dyDescent="0.35">
      <c r="A20" s="26"/>
      <c r="B20" s="3"/>
      <c r="C20" s="29"/>
      <c r="F20" s="2"/>
      <c r="G20" s="29"/>
      <c r="H20" s="29"/>
      <c r="I20" s="29"/>
      <c r="K20" s="135">
        <v>0.19</v>
      </c>
    </row>
    <row r="21" spans="1:11" x14ac:dyDescent="0.35">
      <c r="A21" s="3"/>
      <c r="B21" s="6"/>
      <c r="C21" s="242" t="s">
        <v>2</v>
      </c>
      <c r="D21" s="243"/>
      <c r="E21" s="244"/>
      <c r="F21" s="7"/>
      <c r="G21" s="242" t="s">
        <v>3</v>
      </c>
      <c r="H21" s="243"/>
      <c r="I21" s="244"/>
      <c r="K21" s="135">
        <v>0.2</v>
      </c>
    </row>
    <row r="22" spans="1:11" x14ac:dyDescent="0.35">
      <c r="A22" s="220" t="s">
        <v>4</v>
      </c>
      <c r="B22" s="220" t="s">
        <v>5</v>
      </c>
      <c r="C22" s="205" t="s">
        <v>6</v>
      </c>
      <c r="D22" s="205" t="s">
        <v>7</v>
      </c>
      <c r="E22" s="205" t="s">
        <v>8</v>
      </c>
      <c r="F22" s="8"/>
      <c r="G22" s="205" t="s">
        <v>6</v>
      </c>
      <c r="H22" s="205" t="s">
        <v>7</v>
      </c>
      <c r="I22" s="205" t="s">
        <v>8</v>
      </c>
      <c r="K22" s="135">
        <v>0.21</v>
      </c>
    </row>
    <row r="23" spans="1:11" x14ac:dyDescent="0.35">
      <c r="A23" s="245"/>
      <c r="B23" s="245"/>
      <c r="C23" s="246"/>
      <c r="D23" s="246"/>
      <c r="E23" s="246"/>
      <c r="F23" s="9"/>
      <c r="G23" s="247"/>
      <c r="H23" s="247"/>
      <c r="I23" s="247"/>
      <c r="K23" s="135">
        <v>0.22</v>
      </c>
    </row>
    <row r="24" spans="1:11" x14ac:dyDescent="0.35">
      <c r="A24" s="10" t="s">
        <v>9</v>
      </c>
      <c r="B24" s="11" t="s">
        <v>10</v>
      </c>
      <c r="C24" s="12">
        <v>0.1</v>
      </c>
      <c r="D24" s="13">
        <f>SUM(C24)</f>
        <v>0.1</v>
      </c>
      <c r="E24" s="14">
        <v>1</v>
      </c>
      <c r="F24" s="15"/>
      <c r="G24" s="12">
        <v>0.1</v>
      </c>
      <c r="H24" s="13">
        <v>0.1</v>
      </c>
      <c r="I24" s="14">
        <v>1</v>
      </c>
      <c r="K24" s="135">
        <v>0.23</v>
      </c>
    </row>
    <row r="25" spans="1:11" ht="28.3" x14ac:dyDescent="0.35">
      <c r="A25" s="248" t="s">
        <v>11</v>
      </c>
      <c r="B25" s="16" t="s">
        <v>12</v>
      </c>
      <c r="C25" s="17" t="s">
        <v>13</v>
      </c>
      <c r="D25" s="254" t="s">
        <v>14</v>
      </c>
      <c r="E25" s="255" t="s">
        <v>15</v>
      </c>
      <c r="F25" s="18"/>
      <c r="G25" s="17" t="s">
        <v>16</v>
      </c>
      <c r="H25" s="254" t="s">
        <v>17</v>
      </c>
      <c r="I25" s="255" t="s">
        <v>15</v>
      </c>
      <c r="K25" s="135">
        <v>0.24</v>
      </c>
    </row>
    <row r="26" spans="1:11" x14ac:dyDescent="0.35">
      <c r="A26" s="256"/>
      <c r="B26" s="19" t="s">
        <v>18</v>
      </c>
      <c r="C26" s="17" t="s">
        <v>19</v>
      </c>
      <c r="D26" s="254"/>
      <c r="E26" s="255"/>
      <c r="F26" s="20"/>
      <c r="G26" s="17" t="s">
        <v>20</v>
      </c>
      <c r="H26" s="254"/>
      <c r="I26" s="255"/>
      <c r="K26" s="135">
        <v>0.25</v>
      </c>
    </row>
    <row r="27" spans="1:11" x14ac:dyDescent="0.35">
      <c r="A27" s="248" t="s">
        <v>21</v>
      </c>
      <c r="B27" s="19" t="s">
        <v>22</v>
      </c>
      <c r="C27" s="17" t="s">
        <v>23</v>
      </c>
      <c r="D27" s="254" t="s">
        <v>24</v>
      </c>
      <c r="E27" s="255" t="s">
        <v>25</v>
      </c>
      <c r="F27" s="18"/>
      <c r="G27" s="17" t="s">
        <v>26</v>
      </c>
      <c r="H27" s="254" t="s">
        <v>27</v>
      </c>
      <c r="I27" s="255" t="s">
        <v>25</v>
      </c>
      <c r="K27" s="135">
        <v>0.26</v>
      </c>
    </row>
    <row r="28" spans="1:11" x14ac:dyDescent="0.35">
      <c r="A28" s="249"/>
      <c r="B28" s="16" t="s">
        <v>28</v>
      </c>
      <c r="C28" s="17" t="s">
        <v>29</v>
      </c>
      <c r="D28" s="254"/>
      <c r="E28" s="255"/>
      <c r="F28" s="21"/>
      <c r="G28" s="17" t="s">
        <v>30</v>
      </c>
      <c r="H28" s="254"/>
      <c r="I28" s="255"/>
      <c r="K28" s="135">
        <v>0.27</v>
      </c>
    </row>
    <row r="29" spans="1:11" x14ac:dyDescent="0.35">
      <c r="A29" s="249"/>
      <c r="B29" s="16" t="s">
        <v>31</v>
      </c>
      <c r="C29" s="22">
        <v>0</v>
      </c>
      <c r="D29" s="254"/>
      <c r="E29" s="255"/>
      <c r="F29" s="21"/>
      <c r="G29" s="22">
        <v>0.02</v>
      </c>
      <c r="H29" s="254"/>
      <c r="I29" s="255"/>
      <c r="K29" s="135">
        <v>0.28000000000000003</v>
      </c>
    </row>
    <row r="30" spans="1:11" x14ac:dyDescent="0.35">
      <c r="A30" s="249"/>
      <c r="B30" s="16" t="s">
        <v>32</v>
      </c>
      <c r="C30" s="17" t="s">
        <v>33</v>
      </c>
      <c r="D30" s="254"/>
      <c r="E30" s="255"/>
      <c r="F30" s="21"/>
      <c r="G30" s="17" t="s">
        <v>34</v>
      </c>
      <c r="H30" s="254"/>
      <c r="I30" s="255"/>
      <c r="K30" s="135">
        <v>0.28999999999999998</v>
      </c>
    </row>
    <row r="31" spans="1:11" x14ac:dyDescent="0.35">
      <c r="A31" s="249"/>
      <c r="B31" s="23" t="s">
        <v>35</v>
      </c>
      <c r="C31" s="22">
        <v>0.03</v>
      </c>
      <c r="D31" s="254"/>
      <c r="E31" s="255"/>
      <c r="F31" s="21"/>
      <c r="G31" s="22">
        <v>0.03</v>
      </c>
      <c r="H31" s="254"/>
      <c r="I31" s="255"/>
      <c r="K31" s="135">
        <v>0.3</v>
      </c>
    </row>
    <row r="32" spans="1:11" x14ac:dyDescent="0.35">
      <c r="A32" s="249"/>
      <c r="B32" s="23" t="s">
        <v>36</v>
      </c>
      <c r="C32" s="22">
        <v>7.0000000000000007E-2</v>
      </c>
      <c r="D32" s="254"/>
      <c r="E32" s="255"/>
      <c r="F32" s="21"/>
      <c r="G32" s="22">
        <v>0.1</v>
      </c>
      <c r="H32" s="254"/>
      <c r="I32" s="255"/>
      <c r="K32" s="135">
        <v>0.31</v>
      </c>
    </row>
    <row r="33" spans="1:11" ht="28.3" x14ac:dyDescent="0.35">
      <c r="A33" s="248" t="s">
        <v>37</v>
      </c>
      <c r="B33" s="16" t="s">
        <v>38</v>
      </c>
      <c r="C33" s="12">
        <v>0.05</v>
      </c>
      <c r="D33" s="250">
        <v>0.1</v>
      </c>
      <c r="E33" s="252" t="s">
        <v>25</v>
      </c>
      <c r="F33" s="18"/>
      <c r="G33" s="12">
        <v>0.05</v>
      </c>
      <c r="H33" s="250">
        <v>0.1</v>
      </c>
      <c r="I33" s="252" t="s">
        <v>25</v>
      </c>
      <c r="K33" s="135">
        <v>0.32</v>
      </c>
    </row>
    <row r="34" spans="1:11" ht="14.6" thickBot="1" x14ac:dyDescent="0.4">
      <c r="A34" s="249"/>
      <c r="B34" s="24" t="s">
        <v>39</v>
      </c>
      <c r="C34" s="25">
        <v>0.05</v>
      </c>
      <c r="D34" s="251"/>
      <c r="E34" s="253"/>
      <c r="F34" s="21"/>
      <c r="G34" s="25">
        <v>0.05</v>
      </c>
      <c r="H34" s="251"/>
      <c r="I34" s="253"/>
      <c r="K34" s="135">
        <v>0.33</v>
      </c>
    </row>
    <row r="35" spans="1:11" ht="14.6" thickTop="1" x14ac:dyDescent="0.35">
      <c r="A35" s="26"/>
      <c r="B35" s="27" t="s">
        <v>40</v>
      </c>
      <c r="C35" s="28">
        <v>1</v>
      </c>
      <c r="F35" s="2"/>
      <c r="G35" s="28">
        <v>1</v>
      </c>
      <c r="I35" s="29"/>
      <c r="K35" s="135">
        <v>0.34</v>
      </c>
    </row>
    <row r="36" spans="1:11" x14ac:dyDescent="0.35">
      <c r="K36" s="135">
        <v>0.35</v>
      </c>
    </row>
    <row r="37" spans="1:11" x14ac:dyDescent="0.35">
      <c r="A37" s="26"/>
      <c r="B37" s="6"/>
      <c r="C37" s="242" t="s">
        <v>2</v>
      </c>
      <c r="D37" s="243"/>
      <c r="E37" s="244"/>
      <c r="F37" s="7"/>
      <c r="G37" s="242" t="s">
        <v>3</v>
      </c>
      <c r="H37" s="243"/>
      <c r="I37" s="244"/>
      <c r="K37" s="135">
        <v>0.36</v>
      </c>
    </row>
    <row r="38" spans="1:11" x14ac:dyDescent="0.35">
      <c r="A38" s="220" t="s">
        <v>100</v>
      </c>
      <c r="B38" s="220" t="s">
        <v>5</v>
      </c>
      <c r="C38" s="205" t="s">
        <v>6</v>
      </c>
      <c r="D38" s="205" t="s">
        <v>7</v>
      </c>
      <c r="E38" s="205" t="s">
        <v>8</v>
      </c>
      <c r="F38" s="8"/>
      <c r="G38" s="205" t="s">
        <v>6</v>
      </c>
      <c r="H38" s="205" t="s">
        <v>7</v>
      </c>
      <c r="I38" s="205" t="s">
        <v>8</v>
      </c>
      <c r="K38" s="135">
        <v>0.37</v>
      </c>
    </row>
    <row r="39" spans="1:11" x14ac:dyDescent="0.35">
      <c r="A39" s="245"/>
      <c r="B39" s="245"/>
      <c r="C39" s="246"/>
      <c r="D39" s="246"/>
      <c r="E39" s="246"/>
      <c r="F39" s="9"/>
      <c r="G39" s="247"/>
      <c r="H39" s="247"/>
      <c r="I39" s="247"/>
      <c r="K39" s="135">
        <v>0.38</v>
      </c>
    </row>
    <row r="40" spans="1:11" x14ac:dyDescent="0.35">
      <c r="A40" s="127" t="s">
        <v>9</v>
      </c>
      <c r="B40" s="11" t="s">
        <v>10</v>
      </c>
      <c r="C40" s="12">
        <v>0.1</v>
      </c>
      <c r="D40" s="13">
        <f>C40</f>
        <v>0.1</v>
      </c>
      <c r="E40" s="14">
        <v>1</v>
      </c>
      <c r="F40" s="30"/>
      <c r="G40" s="12">
        <v>0.1</v>
      </c>
      <c r="H40" s="13">
        <v>0.1</v>
      </c>
      <c r="I40" s="14">
        <v>1</v>
      </c>
      <c r="K40" s="135">
        <v>0.39</v>
      </c>
    </row>
    <row r="41" spans="1:11" x14ac:dyDescent="0.35">
      <c r="A41" s="248" t="s">
        <v>11</v>
      </c>
      <c r="B41" s="16" t="s">
        <v>42</v>
      </c>
      <c r="C41" s="17" t="s">
        <v>103</v>
      </c>
      <c r="D41" s="254" t="s">
        <v>43</v>
      </c>
      <c r="E41" s="255" t="s">
        <v>25</v>
      </c>
      <c r="F41" s="31"/>
      <c r="G41" s="17" t="s">
        <v>97</v>
      </c>
      <c r="H41" s="254" t="s">
        <v>45</v>
      </c>
      <c r="I41" s="255" t="s">
        <v>25</v>
      </c>
      <c r="K41" s="135">
        <v>0.4</v>
      </c>
    </row>
    <row r="42" spans="1:11" x14ac:dyDescent="0.35">
      <c r="A42" s="256"/>
      <c r="B42" s="19" t="s">
        <v>18</v>
      </c>
      <c r="C42" s="17" t="s">
        <v>104</v>
      </c>
      <c r="D42" s="254"/>
      <c r="E42" s="255"/>
      <c r="F42" s="32"/>
      <c r="G42" s="17" t="s">
        <v>98</v>
      </c>
      <c r="H42" s="254"/>
      <c r="I42" s="255"/>
      <c r="K42" s="135">
        <v>0.41</v>
      </c>
    </row>
    <row r="43" spans="1:11" x14ac:dyDescent="0.35">
      <c r="A43" s="248" t="s">
        <v>21</v>
      </c>
      <c r="B43" s="19" t="s">
        <v>47</v>
      </c>
      <c r="C43" s="17" t="s">
        <v>105</v>
      </c>
      <c r="D43" s="254" t="s">
        <v>49</v>
      </c>
      <c r="E43" s="255" t="s">
        <v>15</v>
      </c>
      <c r="F43" s="18"/>
      <c r="G43" s="17" t="s">
        <v>99</v>
      </c>
      <c r="H43" s="254" t="s">
        <v>50</v>
      </c>
      <c r="I43" s="255" t="s">
        <v>15</v>
      </c>
      <c r="K43" s="135">
        <v>0.42</v>
      </c>
    </row>
    <row r="44" spans="1:11" x14ac:dyDescent="0.35">
      <c r="A44" s="249"/>
      <c r="B44" s="16" t="s">
        <v>28</v>
      </c>
      <c r="C44" s="17" t="s">
        <v>106</v>
      </c>
      <c r="D44" s="254"/>
      <c r="E44" s="255"/>
      <c r="F44" s="21"/>
      <c r="G44" s="17" t="s">
        <v>101</v>
      </c>
      <c r="H44" s="254"/>
      <c r="I44" s="255"/>
      <c r="K44" s="135">
        <v>0.43</v>
      </c>
    </row>
    <row r="45" spans="1:11" x14ac:dyDescent="0.35">
      <c r="A45" s="249"/>
      <c r="B45" s="16" t="s">
        <v>31</v>
      </c>
      <c r="C45" s="17" t="s">
        <v>107</v>
      </c>
      <c r="D45" s="254"/>
      <c r="E45" s="255"/>
      <c r="F45" s="21"/>
      <c r="G45" s="22">
        <v>0.05</v>
      </c>
      <c r="H45" s="254"/>
      <c r="I45" s="255"/>
      <c r="K45" s="135">
        <v>0.44</v>
      </c>
    </row>
    <row r="46" spans="1:11" x14ac:dyDescent="0.35">
      <c r="A46" s="249"/>
      <c r="B46" s="16" t="s">
        <v>32</v>
      </c>
      <c r="C46" s="17" t="s">
        <v>108</v>
      </c>
      <c r="D46" s="254"/>
      <c r="E46" s="255"/>
      <c r="F46" s="21"/>
      <c r="G46" s="17" t="s">
        <v>52</v>
      </c>
      <c r="H46" s="254"/>
      <c r="I46" s="255"/>
      <c r="K46" s="135">
        <v>0.45</v>
      </c>
    </row>
    <row r="47" spans="1:11" x14ac:dyDescent="0.35">
      <c r="A47" s="249"/>
      <c r="B47" s="23" t="s">
        <v>35</v>
      </c>
      <c r="C47" s="22">
        <v>0.03</v>
      </c>
      <c r="D47" s="254"/>
      <c r="E47" s="255"/>
      <c r="F47" s="21"/>
      <c r="G47" s="22">
        <v>0.03</v>
      </c>
      <c r="H47" s="254"/>
      <c r="I47" s="255"/>
      <c r="K47" s="135">
        <v>0.46</v>
      </c>
    </row>
    <row r="48" spans="1:11" x14ac:dyDescent="0.35">
      <c r="A48" s="249"/>
      <c r="B48" s="23" t="s">
        <v>36</v>
      </c>
      <c r="C48" s="17" t="s">
        <v>30</v>
      </c>
      <c r="D48" s="254"/>
      <c r="E48" s="255"/>
      <c r="F48" s="21"/>
      <c r="G48" s="17" t="s">
        <v>102</v>
      </c>
      <c r="H48" s="254"/>
      <c r="I48" s="255"/>
      <c r="K48" s="135">
        <v>0.47</v>
      </c>
    </row>
    <row r="49" spans="1:11" ht="28.3" x14ac:dyDescent="0.35">
      <c r="A49" s="248" t="s">
        <v>37</v>
      </c>
      <c r="B49" s="16" t="s">
        <v>38</v>
      </c>
      <c r="C49" s="12">
        <v>0.05</v>
      </c>
      <c r="D49" s="250">
        <v>0.1</v>
      </c>
      <c r="E49" s="252" t="s">
        <v>25</v>
      </c>
      <c r="F49" s="18"/>
      <c r="G49" s="12">
        <v>0.05</v>
      </c>
      <c r="H49" s="250">
        <v>0.1</v>
      </c>
      <c r="I49" s="252" t="s">
        <v>25</v>
      </c>
      <c r="K49" s="135">
        <v>0.48</v>
      </c>
    </row>
    <row r="50" spans="1:11" ht="14.6" thickBot="1" x14ac:dyDescent="0.4">
      <c r="A50" s="249"/>
      <c r="B50" s="24" t="s">
        <v>39</v>
      </c>
      <c r="C50" s="25">
        <v>0.05</v>
      </c>
      <c r="D50" s="251"/>
      <c r="E50" s="253"/>
      <c r="F50" s="21"/>
      <c r="G50" s="25">
        <v>0.05</v>
      </c>
      <c r="H50" s="251"/>
      <c r="I50" s="253"/>
      <c r="K50" s="135">
        <v>0.49</v>
      </c>
    </row>
    <row r="51" spans="1:11" ht="14.6" thickTop="1" x14ac:dyDescent="0.35">
      <c r="A51" s="26"/>
      <c r="B51" s="27" t="s">
        <v>40</v>
      </c>
      <c r="C51" s="28">
        <v>1</v>
      </c>
      <c r="F51" s="2"/>
      <c r="G51" s="28">
        <v>1</v>
      </c>
      <c r="I51" s="29"/>
      <c r="K51" s="135">
        <v>0.5</v>
      </c>
    </row>
    <row r="52" spans="1:11" x14ac:dyDescent="0.35">
      <c r="K52" s="135">
        <v>0.51</v>
      </c>
    </row>
    <row r="53" spans="1:11" x14ac:dyDescent="0.35">
      <c r="K53" s="135">
        <v>0.52</v>
      </c>
    </row>
    <row r="54" spans="1:11" x14ac:dyDescent="0.35">
      <c r="K54" s="135">
        <v>0.53</v>
      </c>
    </row>
    <row r="55" spans="1:11" x14ac:dyDescent="0.35">
      <c r="K55" s="135">
        <v>0.54</v>
      </c>
    </row>
    <row r="56" spans="1:11" x14ac:dyDescent="0.35">
      <c r="K56" s="135">
        <v>0.55000000000000004</v>
      </c>
    </row>
    <row r="57" spans="1:11" x14ac:dyDescent="0.35">
      <c r="K57" s="135">
        <v>0.56000000000000005</v>
      </c>
    </row>
    <row r="58" spans="1:11" x14ac:dyDescent="0.35">
      <c r="K58" s="135">
        <v>0.56999999999999995</v>
      </c>
    </row>
    <row r="59" spans="1:11" x14ac:dyDescent="0.35">
      <c r="K59" s="135">
        <v>0.57999999999999996</v>
      </c>
    </row>
    <row r="60" spans="1:11" x14ac:dyDescent="0.35">
      <c r="K60" s="135">
        <v>0.59</v>
      </c>
    </row>
    <row r="61" spans="1:11" x14ac:dyDescent="0.35">
      <c r="K61" s="135">
        <v>0.6</v>
      </c>
    </row>
    <row r="62" spans="1:11" x14ac:dyDescent="0.35">
      <c r="K62" s="135">
        <v>0.61</v>
      </c>
    </row>
    <row r="63" spans="1:11" x14ac:dyDescent="0.35">
      <c r="K63" s="135">
        <v>0.62</v>
      </c>
    </row>
    <row r="64" spans="1:11" x14ac:dyDescent="0.35">
      <c r="K64" s="135">
        <v>0.63</v>
      </c>
    </row>
    <row r="65" spans="11:11" x14ac:dyDescent="0.35">
      <c r="K65" s="135">
        <v>0.64</v>
      </c>
    </row>
    <row r="66" spans="11:11" x14ac:dyDescent="0.35">
      <c r="K66" s="135">
        <v>0.65</v>
      </c>
    </row>
    <row r="67" spans="11:11" x14ac:dyDescent="0.35">
      <c r="K67" s="135">
        <v>0.66</v>
      </c>
    </row>
    <row r="68" spans="11:11" x14ac:dyDescent="0.35">
      <c r="K68" s="135">
        <v>0.67</v>
      </c>
    </row>
    <row r="69" spans="11:11" x14ac:dyDescent="0.35">
      <c r="K69" s="135">
        <v>0.68</v>
      </c>
    </row>
    <row r="70" spans="11:11" x14ac:dyDescent="0.35">
      <c r="K70" s="135">
        <v>0.69</v>
      </c>
    </row>
    <row r="71" spans="11:11" x14ac:dyDescent="0.35">
      <c r="K71" s="135">
        <v>0.7</v>
      </c>
    </row>
    <row r="72" spans="11:11" x14ac:dyDescent="0.35">
      <c r="K72" s="135">
        <v>0.71</v>
      </c>
    </row>
    <row r="73" spans="11:11" x14ac:dyDescent="0.35">
      <c r="K73" s="135">
        <v>0.72</v>
      </c>
    </row>
    <row r="74" spans="11:11" x14ac:dyDescent="0.35">
      <c r="K74" s="135">
        <v>0.73</v>
      </c>
    </row>
    <row r="75" spans="11:11" x14ac:dyDescent="0.35">
      <c r="K75" s="135">
        <v>0.74</v>
      </c>
    </row>
    <row r="76" spans="11:11" x14ac:dyDescent="0.35">
      <c r="K76" s="135">
        <v>0.75</v>
      </c>
    </row>
    <row r="77" spans="11:11" x14ac:dyDescent="0.35">
      <c r="K77" s="135">
        <v>0.76</v>
      </c>
    </row>
    <row r="78" spans="11:11" x14ac:dyDescent="0.35">
      <c r="K78" s="135">
        <v>0.77</v>
      </c>
    </row>
    <row r="79" spans="11:11" x14ac:dyDescent="0.35">
      <c r="K79" s="135">
        <v>0.78</v>
      </c>
    </row>
    <row r="80" spans="11:11" x14ac:dyDescent="0.35">
      <c r="K80" s="135">
        <v>0.79</v>
      </c>
    </row>
    <row r="81" spans="11:11" x14ac:dyDescent="0.35">
      <c r="K81" s="135">
        <v>0.8</v>
      </c>
    </row>
    <row r="82" spans="11:11" x14ac:dyDescent="0.35">
      <c r="K82" s="135">
        <v>0.81</v>
      </c>
    </row>
    <row r="83" spans="11:11" x14ac:dyDescent="0.35">
      <c r="K83" s="135">
        <v>0.82</v>
      </c>
    </row>
    <row r="84" spans="11:11" x14ac:dyDescent="0.35">
      <c r="K84" s="135">
        <v>0.83</v>
      </c>
    </row>
    <row r="85" spans="11:11" x14ac:dyDescent="0.35">
      <c r="K85" s="135">
        <v>0.84</v>
      </c>
    </row>
    <row r="86" spans="11:11" x14ac:dyDescent="0.35">
      <c r="K86" s="135">
        <v>0.85</v>
      </c>
    </row>
    <row r="87" spans="11:11" x14ac:dyDescent="0.35">
      <c r="K87" s="135">
        <v>0.86</v>
      </c>
    </row>
    <row r="88" spans="11:11" x14ac:dyDescent="0.35">
      <c r="K88" s="135">
        <v>0.87</v>
      </c>
    </row>
    <row r="89" spans="11:11" x14ac:dyDescent="0.35">
      <c r="K89" s="135">
        <v>0.88</v>
      </c>
    </row>
    <row r="90" spans="11:11" x14ac:dyDescent="0.35">
      <c r="K90" s="135">
        <v>0.89</v>
      </c>
    </row>
    <row r="91" spans="11:11" x14ac:dyDescent="0.35">
      <c r="K91" s="135">
        <v>0.9</v>
      </c>
    </row>
    <row r="92" spans="11:11" x14ac:dyDescent="0.35">
      <c r="K92" s="135">
        <v>0.91</v>
      </c>
    </row>
    <row r="93" spans="11:11" x14ac:dyDescent="0.35">
      <c r="K93" s="135">
        <v>0.92</v>
      </c>
    </row>
    <row r="94" spans="11:11" x14ac:dyDescent="0.35">
      <c r="K94" s="135">
        <v>0.93</v>
      </c>
    </row>
    <row r="95" spans="11:11" x14ac:dyDescent="0.35">
      <c r="K95" s="135">
        <v>0.94</v>
      </c>
    </row>
    <row r="96" spans="11:11" x14ac:dyDescent="0.35">
      <c r="K96" s="135">
        <v>0.95</v>
      </c>
    </row>
    <row r="97" spans="11:11" x14ac:dyDescent="0.35">
      <c r="K97" s="135">
        <v>0.96</v>
      </c>
    </row>
    <row r="98" spans="11:11" x14ac:dyDescent="0.35">
      <c r="K98" s="135">
        <v>0.97</v>
      </c>
    </row>
    <row r="99" spans="11:11" x14ac:dyDescent="0.35">
      <c r="K99" s="135">
        <v>0.98</v>
      </c>
    </row>
    <row r="100" spans="11:11" x14ac:dyDescent="0.35">
      <c r="K100" s="135">
        <v>0.99</v>
      </c>
    </row>
    <row r="101" spans="11:11" x14ac:dyDescent="0.35">
      <c r="K101" s="135">
        <v>1</v>
      </c>
    </row>
  </sheetData>
  <mergeCells count="77">
    <mergeCell ref="A17:A18"/>
    <mergeCell ref="D17:D18"/>
    <mergeCell ref="E17:E18"/>
    <mergeCell ref="H17:H18"/>
    <mergeCell ref="I17:I18"/>
    <mergeCell ref="I6:I7"/>
    <mergeCell ref="A11:A16"/>
    <mergeCell ref="D11:D16"/>
    <mergeCell ref="E11:E16"/>
    <mergeCell ref="H11:H16"/>
    <mergeCell ref="I11:I16"/>
    <mergeCell ref="A9:A10"/>
    <mergeCell ref="D9:D10"/>
    <mergeCell ref="E9:E10"/>
    <mergeCell ref="H9:H10"/>
    <mergeCell ref="I9:I10"/>
    <mergeCell ref="C6:C7"/>
    <mergeCell ref="D6:D7"/>
    <mergeCell ref="E6:E7"/>
    <mergeCell ref="G6:G7"/>
    <mergeCell ref="H6:H7"/>
    <mergeCell ref="A27:A32"/>
    <mergeCell ref="D27:D32"/>
    <mergeCell ref="E27:E32"/>
    <mergeCell ref="H27:H32"/>
    <mergeCell ref="I27:I32"/>
    <mergeCell ref="A33:A34"/>
    <mergeCell ref="D33:D34"/>
    <mergeCell ref="E33:E34"/>
    <mergeCell ref="H33:H34"/>
    <mergeCell ref="I33:I34"/>
    <mergeCell ref="A25:A26"/>
    <mergeCell ref="D25:D26"/>
    <mergeCell ref="E25:E26"/>
    <mergeCell ref="H25:H26"/>
    <mergeCell ref="I25:I26"/>
    <mergeCell ref="A1:H1"/>
    <mergeCell ref="A3:H4"/>
    <mergeCell ref="C21:E21"/>
    <mergeCell ref="G21:I21"/>
    <mergeCell ref="A22:A23"/>
    <mergeCell ref="B22:B23"/>
    <mergeCell ref="C22:C23"/>
    <mergeCell ref="D22:D23"/>
    <mergeCell ref="E22:E23"/>
    <mergeCell ref="G22:G23"/>
    <mergeCell ref="H22:H23"/>
    <mergeCell ref="I22:I23"/>
    <mergeCell ref="C5:E5"/>
    <mergeCell ref="G5:I5"/>
    <mergeCell ref="A6:A7"/>
    <mergeCell ref="B6:B7"/>
    <mergeCell ref="A41:A42"/>
    <mergeCell ref="D41:D42"/>
    <mergeCell ref="E41:E42"/>
    <mergeCell ref="H41:H42"/>
    <mergeCell ref="I41:I42"/>
    <mergeCell ref="A43:A48"/>
    <mergeCell ref="D43:D48"/>
    <mergeCell ref="E43:E48"/>
    <mergeCell ref="H43:H48"/>
    <mergeCell ref="I43:I48"/>
    <mergeCell ref="A49:A50"/>
    <mergeCell ref="D49:D50"/>
    <mergeCell ref="E49:E50"/>
    <mergeCell ref="H49:H50"/>
    <mergeCell ref="I49:I50"/>
    <mergeCell ref="C37:E37"/>
    <mergeCell ref="G37:I37"/>
    <mergeCell ref="A38:A39"/>
    <mergeCell ref="B38:B39"/>
    <mergeCell ref="C38:C39"/>
    <mergeCell ref="D38:D39"/>
    <mergeCell ref="E38:E39"/>
    <mergeCell ref="G38:G39"/>
    <mergeCell ref="H38:H39"/>
    <mergeCell ref="I38:I39"/>
  </mergeCells>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2</vt:i4>
      </vt:variant>
    </vt:vector>
  </HeadingPairs>
  <TitlesOfParts>
    <vt:vector size="2" baseType="lpstr">
      <vt:lpstr>Home</vt:lpstr>
      <vt:lpstr>HybridPrincipal</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Kostubh Agarwal</dc:creator>
  <cp:lastModifiedBy>Kostubh Agarwal</cp:lastModifiedBy>
  <dcterms:created xsi:type="dcterms:W3CDTF">2022-06-21T18:39:41Z</dcterms:created>
  <dcterms:modified xsi:type="dcterms:W3CDTF">2022-06-30T18:02:18Z</dcterms:modified>
</cp:coreProperties>
</file>